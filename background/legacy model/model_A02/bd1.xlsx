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n5a1435c9a7e5c.sharepoint.com/sites/Technology/Shared Documents/HT02 Projects/HT02-047 Wind2Wheel COW2WEH/Simulations/offshore/model_A02/"/>
    </mc:Choice>
  </mc:AlternateContent>
  <xr:revisionPtr revIDLastSave="13" documentId="11_418DD0BAD3905127EBF82211595ED87656CDEDAB" xr6:coauthVersionLast="47" xr6:coauthVersionMax="47" xr10:uidLastSave="{B64A51CC-9FB5-43F0-B303-1249260DE65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2" i="1"/>
</calcChain>
</file>

<file path=xl/sharedStrings.xml><?xml version="1.0" encoding="utf-8"?>
<sst xmlns="http://schemas.openxmlformats.org/spreadsheetml/2006/main" count="218" uniqueCount="27">
  <si>
    <t>level</t>
  </si>
  <si>
    <t>section</t>
  </si>
  <si>
    <t>component</t>
  </si>
  <si>
    <t>costtype</t>
  </si>
  <si>
    <t>cost_eur</t>
  </si>
  <si>
    <t>annual_eur_per_year</t>
  </si>
  <si>
    <t>lcoe</t>
  </si>
  <si>
    <t>share_of_group</t>
  </si>
  <si>
    <t>share_of_total</t>
  </si>
  <si>
    <t>turbine</t>
  </si>
  <si>
    <t>installation</t>
  </si>
  <si>
    <t>opex</t>
  </si>
  <si>
    <t>capex</t>
  </si>
  <si>
    <t>decommissioning</t>
  </si>
  <si>
    <t>foundation</t>
  </si>
  <si>
    <t>hydrogen</t>
  </si>
  <si>
    <t>stack</t>
  </si>
  <si>
    <t>bop</t>
  </si>
  <si>
    <t>electrical-bop</t>
  </si>
  <si>
    <t>compressor</t>
  </si>
  <si>
    <t>infra</t>
  </si>
  <si>
    <t>development</t>
  </si>
  <si>
    <t>infield</t>
  </si>
  <si>
    <t>export</t>
  </si>
  <si>
    <t>__total__</t>
  </si>
  <si>
    <t>total</t>
  </si>
  <si>
    <t>cost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</si>
</sst>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  <xf numFmtId="44" fontId="0" fillId="0" borderId="0" xfId="2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topLeftCell="A13" workbookViewId="0">
      <selection activeCell="G2" sqref="G2:G53"/>
    </sheetView>
  </sheetViews>
  <sheetFormatPr defaultRowHeight="14.4" x14ac:dyDescent="0.3"/>
  <cols>
    <col min="1" max="1" width="3" bestFit="1" customWidth="1"/>
    <col min="2" max="2" width="10.33203125" bestFit="1" customWidth="1"/>
    <col min="4" max="4" width="12.21875" bestFit="1" customWidth="1"/>
    <col min="5" max="5" width="15.109375" bestFit="1" customWidth="1"/>
    <col min="6" max="6" width="12" bestFit="1" customWidth="1"/>
    <col min="7" max="7" width="12" customWidth="1"/>
    <col min="8" max="8" width="19.21875" bestFit="1" customWidth="1"/>
    <col min="9" max="9" width="12.6640625" bestFit="1" customWidth="1"/>
    <col min="10" max="10" width="14.44140625" bestFit="1" customWidth="1"/>
    <col min="11" max="11" width="13.33203125" style="3" bestFit="1" customWidth="1"/>
  </cols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26</v>
      </c>
      <c r="H1" s="1" t="s">
        <v>5</v>
      </c>
      <c r="I1" s="1" t="s">
        <v>6</v>
      </c>
      <c r="J1" s="1" t="s">
        <v>7</v>
      </c>
      <c r="K1" s="2" t="s">
        <v>8</v>
      </c>
    </row>
    <row r="2" spans="1:12" x14ac:dyDescent="0.3">
      <c r="A2" s="1">
        <v>0</v>
      </c>
      <c r="B2" t="s">
        <v>2</v>
      </c>
      <c r="C2" t="s">
        <v>9</v>
      </c>
      <c r="D2" t="s">
        <v>9</v>
      </c>
      <c r="E2" t="s">
        <v>10</v>
      </c>
      <c r="F2">
        <v>0</v>
      </c>
      <c r="G2" s="5">
        <f>F2/1000000</f>
        <v>0</v>
      </c>
      <c r="H2">
        <v>0</v>
      </c>
      <c r="I2">
        <v>0</v>
      </c>
      <c r="J2">
        <v>0</v>
      </c>
      <c r="K2" s="3">
        <v>0</v>
      </c>
    </row>
    <row r="3" spans="1:12" x14ac:dyDescent="0.3">
      <c r="A3" s="1">
        <v>1</v>
      </c>
      <c r="B3" t="s">
        <v>2</v>
      </c>
      <c r="C3" t="s">
        <v>9</v>
      </c>
      <c r="D3" t="s">
        <v>9</v>
      </c>
      <c r="E3" t="s">
        <v>11</v>
      </c>
      <c r="F3">
        <v>26800000</v>
      </c>
      <c r="G3" s="5">
        <f t="shared" ref="G3:G53" si="0">F3/1000000</f>
        <v>26.8</v>
      </c>
      <c r="H3">
        <v>26800000</v>
      </c>
      <c r="I3">
        <v>3.0845693252801158</v>
      </c>
      <c r="J3">
        <v>0.12791061621282601</v>
      </c>
      <c r="K3" s="3">
        <v>5.7902499748510902E-2</v>
      </c>
    </row>
    <row r="4" spans="1:12" x14ac:dyDescent="0.3">
      <c r="A4" s="1">
        <v>2</v>
      </c>
      <c r="B4" t="s">
        <v>2</v>
      </c>
      <c r="C4" t="s">
        <v>9</v>
      </c>
      <c r="D4" t="s">
        <v>9</v>
      </c>
      <c r="E4" t="s">
        <v>12</v>
      </c>
      <c r="F4">
        <v>2208340770</v>
      </c>
      <c r="G4" s="5">
        <f t="shared" si="0"/>
        <v>2208.3407699999998</v>
      </c>
      <c r="H4">
        <v>182721311.00211751</v>
      </c>
      <c r="I4">
        <v>21.03046832060074</v>
      </c>
      <c r="J4">
        <v>0.87208938378717404</v>
      </c>
      <c r="K4" s="3">
        <v>0.39477689046073472</v>
      </c>
    </row>
    <row r="5" spans="1:12" x14ac:dyDescent="0.3">
      <c r="A5" s="1">
        <v>3</v>
      </c>
      <c r="B5" t="s">
        <v>2</v>
      </c>
      <c r="C5" t="s">
        <v>9</v>
      </c>
      <c r="D5" t="s">
        <v>9</v>
      </c>
      <c r="E5" t="s">
        <v>13</v>
      </c>
      <c r="F5">
        <v>0</v>
      </c>
      <c r="G5" s="5">
        <f t="shared" si="0"/>
        <v>0</v>
      </c>
      <c r="H5">
        <v>0</v>
      </c>
      <c r="I5">
        <v>0</v>
      </c>
      <c r="J5">
        <v>0</v>
      </c>
      <c r="K5" s="3">
        <v>0</v>
      </c>
    </row>
    <row r="6" spans="1:12" x14ac:dyDescent="0.3">
      <c r="A6" s="1">
        <v>4</v>
      </c>
      <c r="B6" t="s">
        <v>2</v>
      </c>
      <c r="C6" t="s">
        <v>9</v>
      </c>
      <c r="D6" t="s">
        <v>14</v>
      </c>
      <c r="E6" t="s">
        <v>10</v>
      </c>
      <c r="F6">
        <v>134000000</v>
      </c>
      <c r="G6" s="5">
        <f t="shared" si="0"/>
        <v>134</v>
      </c>
      <c r="H6">
        <v>11087353.911544969</v>
      </c>
      <c r="I6">
        <v>1.276108648286423</v>
      </c>
      <c r="J6">
        <v>0.12251035618755859</v>
      </c>
      <c r="K6" s="3">
        <v>2.395468309980911E-2</v>
      </c>
    </row>
    <row r="7" spans="1:12" x14ac:dyDescent="0.3">
      <c r="A7" s="1">
        <v>5</v>
      </c>
      <c r="B7" t="s">
        <v>2</v>
      </c>
      <c r="C7" t="s">
        <v>9</v>
      </c>
      <c r="D7" t="s">
        <v>14</v>
      </c>
      <c r="E7" t="s">
        <v>11</v>
      </c>
      <c r="F7">
        <v>4020000</v>
      </c>
      <c r="G7" s="5">
        <f t="shared" si="0"/>
        <v>4.0199999999999996</v>
      </c>
      <c r="H7">
        <v>4020000</v>
      </c>
      <c r="I7">
        <v>0.46268539879201742</v>
      </c>
      <c r="J7">
        <v>4.4419221737042852E-2</v>
      </c>
      <c r="K7" s="3">
        <v>8.6853749622766343E-3</v>
      </c>
    </row>
    <row r="8" spans="1:12" x14ac:dyDescent="0.3">
      <c r="A8" s="1">
        <v>6</v>
      </c>
      <c r="B8" t="s">
        <v>2</v>
      </c>
      <c r="C8" t="s">
        <v>9</v>
      </c>
      <c r="D8" t="s">
        <v>14</v>
      </c>
      <c r="E8" t="s">
        <v>12</v>
      </c>
      <c r="F8">
        <v>804000000</v>
      </c>
      <c r="G8" s="5">
        <f t="shared" si="0"/>
        <v>804</v>
      </c>
      <c r="H8">
        <v>66524123.469269849</v>
      </c>
      <c r="I8">
        <v>7.6566518897185372</v>
      </c>
      <c r="J8">
        <v>0.73506213712535162</v>
      </c>
      <c r="K8" s="3">
        <v>0.14372809859885469</v>
      </c>
    </row>
    <row r="9" spans="1:12" x14ac:dyDescent="0.3">
      <c r="A9" s="1">
        <v>7</v>
      </c>
      <c r="B9" t="s">
        <v>2</v>
      </c>
      <c r="C9" t="s">
        <v>9</v>
      </c>
      <c r="D9" t="s">
        <v>14</v>
      </c>
      <c r="E9" t="s">
        <v>13</v>
      </c>
      <c r="F9">
        <v>107200000</v>
      </c>
      <c r="G9" s="5">
        <f t="shared" si="0"/>
        <v>107.2</v>
      </c>
      <c r="H9">
        <v>8869883.1292359792</v>
      </c>
      <c r="I9">
        <v>1.0208869186291381</v>
      </c>
      <c r="J9">
        <v>9.8008284950046876E-2</v>
      </c>
      <c r="K9" s="3">
        <v>1.9163746479847289E-2</v>
      </c>
      <c r="L9" s="4"/>
    </row>
    <row r="10" spans="1:12" x14ac:dyDescent="0.3">
      <c r="A10" s="1">
        <v>8</v>
      </c>
      <c r="B10" t="s">
        <v>2</v>
      </c>
      <c r="C10" t="s">
        <v>15</v>
      </c>
      <c r="D10" t="s">
        <v>16</v>
      </c>
      <c r="E10" t="s">
        <v>10</v>
      </c>
      <c r="F10">
        <v>0</v>
      </c>
      <c r="G10" s="5">
        <f t="shared" si="0"/>
        <v>0</v>
      </c>
      <c r="H10">
        <v>0</v>
      </c>
      <c r="I10">
        <v>0</v>
      </c>
      <c r="J10">
        <v>0</v>
      </c>
      <c r="K10" s="3">
        <v>0</v>
      </c>
    </row>
    <row r="11" spans="1:12" x14ac:dyDescent="0.3">
      <c r="A11" s="1">
        <v>9</v>
      </c>
      <c r="B11" t="s">
        <v>2</v>
      </c>
      <c r="C11" t="s">
        <v>15</v>
      </c>
      <c r="D11" t="s">
        <v>16</v>
      </c>
      <c r="E11" t="s">
        <v>11</v>
      </c>
      <c r="F11">
        <v>10854000</v>
      </c>
      <c r="G11" s="5">
        <f t="shared" si="0"/>
        <v>10.853999999999999</v>
      </c>
      <c r="H11">
        <v>10854000</v>
      </c>
      <c r="I11">
        <v>1.249250576738447</v>
      </c>
      <c r="J11">
        <v>0.2660955732908285</v>
      </c>
      <c r="K11" s="3">
        <v>2.3450512398146911E-2</v>
      </c>
    </row>
    <row r="12" spans="1:12" x14ac:dyDescent="0.3">
      <c r="A12" s="1">
        <v>10</v>
      </c>
      <c r="B12" t="s">
        <v>2</v>
      </c>
      <c r="C12" t="s">
        <v>15</v>
      </c>
      <c r="D12" t="s">
        <v>16</v>
      </c>
      <c r="E12" t="s">
        <v>12</v>
      </c>
      <c r="F12">
        <v>361800000</v>
      </c>
      <c r="G12" s="5">
        <f t="shared" si="0"/>
        <v>361.8</v>
      </c>
      <c r="H12">
        <v>29935855.561171431</v>
      </c>
      <c r="I12">
        <v>3.4454933503733418</v>
      </c>
      <c r="J12">
        <v>0.73390442670917155</v>
      </c>
      <c r="K12" s="3">
        <v>6.4677644369484602E-2</v>
      </c>
    </row>
    <row r="13" spans="1:12" x14ac:dyDescent="0.3">
      <c r="A13" s="1">
        <v>11</v>
      </c>
      <c r="B13" t="s">
        <v>2</v>
      </c>
      <c r="C13" t="s">
        <v>15</v>
      </c>
      <c r="D13" t="s">
        <v>16</v>
      </c>
      <c r="E13" t="s">
        <v>13</v>
      </c>
      <c r="F13">
        <v>0</v>
      </c>
      <c r="G13" s="5">
        <f t="shared" si="0"/>
        <v>0</v>
      </c>
      <c r="H13">
        <v>0</v>
      </c>
      <c r="I13">
        <v>0</v>
      </c>
      <c r="J13">
        <v>0</v>
      </c>
      <c r="K13" s="3">
        <v>0</v>
      </c>
    </row>
    <row r="14" spans="1:12" x14ac:dyDescent="0.3">
      <c r="A14" s="1">
        <v>12</v>
      </c>
      <c r="B14" t="s">
        <v>2</v>
      </c>
      <c r="C14" t="s">
        <v>15</v>
      </c>
      <c r="D14" t="s">
        <v>17</v>
      </c>
      <c r="E14" t="s">
        <v>10</v>
      </c>
      <c r="F14">
        <v>0</v>
      </c>
      <c r="G14" s="5">
        <f t="shared" si="0"/>
        <v>0</v>
      </c>
      <c r="H14">
        <v>0</v>
      </c>
      <c r="I14">
        <v>0</v>
      </c>
      <c r="J14">
        <v>0</v>
      </c>
      <c r="K14" s="3">
        <v>0</v>
      </c>
    </row>
    <row r="15" spans="1:12" x14ac:dyDescent="0.3">
      <c r="A15" s="1">
        <v>13</v>
      </c>
      <c r="B15" t="s">
        <v>2</v>
      </c>
      <c r="C15" t="s">
        <v>15</v>
      </c>
      <c r="D15" t="s">
        <v>17</v>
      </c>
      <c r="E15" t="s">
        <v>11</v>
      </c>
      <c r="F15">
        <v>21979350</v>
      </c>
      <c r="G15" s="5">
        <f t="shared" si="0"/>
        <v>21.97935</v>
      </c>
      <c r="H15">
        <v>21979350</v>
      </c>
      <c r="I15">
        <v>2.5297324178953549</v>
      </c>
      <c r="J15">
        <v>0.26609557329082839</v>
      </c>
      <c r="K15" s="3">
        <v>4.74872876062475E-2</v>
      </c>
    </row>
    <row r="16" spans="1:12" x14ac:dyDescent="0.3">
      <c r="A16" s="1">
        <v>14</v>
      </c>
      <c r="B16" t="s">
        <v>2</v>
      </c>
      <c r="C16" t="s">
        <v>15</v>
      </c>
      <c r="D16" t="s">
        <v>17</v>
      </c>
      <c r="E16" t="s">
        <v>12</v>
      </c>
      <c r="F16">
        <v>732645000</v>
      </c>
      <c r="G16" s="5">
        <f t="shared" si="0"/>
        <v>732.64499999999998</v>
      </c>
      <c r="H16">
        <v>60620107.511372149</v>
      </c>
      <c r="I16">
        <v>6.9771240345060166</v>
      </c>
      <c r="J16">
        <v>0.73390442670917155</v>
      </c>
      <c r="K16" s="3">
        <v>0.13097222984820631</v>
      </c>
    </row>
    <row r="17" spans="1:11" x14ac:dyDescent="0.3">
      <c r="A17" s="1">
        <v>15</v>
      </c>
      <c r="B17" t="s">
        <v>2</v>
      </c>
      <c r="C17" t="s">
        <v>15</v>
      </c>
      <c r="D17" t="s">
        <v>17</v>
      </c>
      <c r="E17" t="s">
        <v>13</v>
      </c>
      <c r="F17">
        <v>0</v>
      </c>
      <c r="G17" s="5">
        <f t="shared" si="0"/>
        <v>0</v>
      </c>
      <c r="H17">
        <v>0</v>
      </c>
      <c r="I17">
        <v>0</v>
      </c>
      <c r="J17">
        <v>0</v>
      </c>
      <c r="K17" s="3">
        <v>0</v>
      </c>
    </row>
    <row r="18" spans="1:11" x14ac:dyDescent="0.3">
      <c r="A18" s="1">
        <v>16</v>
      </c>
      <c r="B18" t="s">
        <v>2</v>
      </c>
      <c r="C18" t="s">
        <v>15</v>
      </c>
      <c r="D18" t="s">
        <v>18</v>
      </c>
      <c r="E18" t="s">
        <v>10</v>
      </c>
      <c r="F18">
        <v>0</v>
      </c>
      <c r="G18" s="5">
        <f t="shared" si="0"/>
        <v>0</v>
      </c>
      <c r="H18">
        <v>0</v>
      </c>
      <c r="I18">
        <v>0</v>
      </c>
      <c r="K18" s="3">
        <v>0</v>
      </c>
    </row>
    <row r="19" spans="1:11" x14ac:dyDescent="0.3">
      <c r="A19" s="1">
        <v>17</v>
      </c>
      <c r="B19" t="s">
        <v>2</v>
      </c>
      <c r="C19" t="s">
        <v>15</v>
      </c>
      <c r="D19" t="s">
        <v>18</v>
      </c>
      <c r="E19" t="s">
        <v>11</v>
      </c>
      <c r="F19">
        <v>-6030000</v>
      </c>
      <c r="G19" s="5">
        <f t="shared" si="0"/>
        <v>-6.03</v>
      </c>
      <c r="H19">
        <v>-6030000</v>
      </c>
      <c r="I19">
        <v>-0.69402809818802602</v>
      </c>
      <c r="K19" s="3">
        <v>-1.3028062443414951E-2</v>
      </c>
    </row>
    <row r="20" spans="1:11" x14ac:dyDescent="0.3">
      <c r="A20" s="1">
        <v>18</v>
      </c>
      <c r="B20" t="s">
        <v>2</v>
      </c>
      <c r="C20" t="s">
        <v>15</v>
      </c>
      <c r="D20" t="s">
        <v>18</v>
      </c>
      <c r="E20" t="s">
        <v>12</v>
      </c>
      <c r="F20">
        <v>-201000000</v>
      </c>
      <c r="G20" s="5">
        <f t="shared" si="0"/>
        <v>-201</v>
      </c>
      <c r="H20">
        <v>-16631030.86731746</v>
      </c>
      <c r="I20">
        <v>-1.9141629724296341</v>
      </c>
      <c r="K20" s="3">
        <v>-3.5932024649713672E-2</v>
      </c>
    </row>
    <row r="21" spans="1:11" x14ac:dyDescent="0.3">
      <c r="A21" s="1">
        <v>19</v>
      </c>
      <c r="B21" t="s">
        <v>2</v>
      </c>
      <c r="C21" t="s">
        <v>15</v>
      </c>
      <c r="D21" t="s">
        <v>18</v>
      </c>
      <c r="E21" t="s">
        <v>13</v>
      </c>
      <c r="F21">
        <v>0</v>
      </c>
      <c r="G21" s="5">
        <f t="shared" si="0"/>
        <v>0</v>
      </c>
      <c r="H21">
        <v>0</v>
      </c>
      <c r="I21">
        <v>0</v>
      </c>
      <c r="K21" s="3">
        <v>0</v>
      </c>
    </row>
    <row r="22" spans="1:11" x14ac:dyDescent="0.3">
      <c r="A22" s="1">
        <v>20</v>
      </c>
      <c r="B22" t="s">
        <v>2</v>
      </c>
      <c r="C22" t="s">
        <v>15</v>
      </c>
      <c r="D22" t="s">
        <v>19</v>
      </c>
      <c r="E22" t="s">
        <v>10</v>
      </c>
      <c r="F22">
        <v>0</v>
      </c>
      <c r="G22" s="5">
        <f t="shared" si="0"/>
        <v>0</v>
      </c>
      <c r="H22">
        <v>0</v>
      </c>
      <c r="I22">
        <v>0</v>
      </c>
      <c r="J22">
        <v>0</v>
      </c>
      <c r="K22" s="3">
        <v>0</v>
      </c>
    </row>
    <row r="23" spans="1:11" x14ac:dyDescent="0.3">
      <c r="A23" s="1">
        <v>21</v>
      </c>
      <c r="B23" t="s">
        <v>2</v>
      </c>
      <c r="C23" t="s">
        <v>15</v>
      </c>
      <c r="D23" t="s">
        <v>19</v>
      </c>
      <c r="E23" t="s">
        <v>11</v>
      </c>
      <c r="F23">
        <v>2243310.7240683381</v>
      </c>
      <c r="G23" s="5">
        <f t="shared" si="0"/>
        <v>2.2433107240683379</v>
      </c>
      <c r="H23">
        <v>2243310.7240683381</v>
      </c>
      <c r="I23">
        <v>0.25819580024377309</v>
      </c>
      <c r="J23">
        <v>0.26609557329082839</v>
      </c>
      <c r="K23" s="3">
        <v>4.8467648744850269E-3</v>
      </c>
    </row>
    <row r="24" spans="1:11" x14ac:dyDescent="0.3">
      <c r="A24" s="1">
        <v>22</v>
      </c>
      <c r="B24" t="s">
        <v>2</v>
      </c>
      <c r="C24" t="s">
        <v>15</v>
      </c>
      <c r="D24" t="s">
        <v>19</v>
      </c>
      <c r="E24" t="s">
        <v>12</v>
      </c>
      <c r="F24">
        <v>74777024.135611251</v>
      </c>
      <c r="G24" s="5">
        <f t="shared" si="0"/>
        <v>74.777024135611256</v>
      </c>
      <c r="H24">
        <v>6187159.1868930031</v>
      </c>
      <c r="I24">
        <v>0.7121164715863888</v>
      </c>
      <c r="J24">
        <v>0.73390442670917144</v>
      </c>
      <c r="K24" s="3">
        <v>1.3367611315786161E-2</v>
      </c>
    </row>
    <row r="25" spans="1:11" x14ac:dyDescent="0.3">
      <c r="A25" s="1">
        <v>23</v>
      </c>
      <c r="B25" t="s">
        <v>2</v>
      </c>
      <c r="C25" t="s">
        <v>15</v>
      </c>
      <c r="D25" t="s">
        <v>19</v>
      </c>
      <c r="E25" t="s">
        <v>13</v>
      </c>
      <c r="F25">
        <v>0</v>
      </c>
      <c r="G25" s="5">
        <f t="shared" si="0"/>
        <v>0</v>
      </c>
      <c r="H25">
        <v>0</v>
      </c>
      <c r="I25">
        <v>0</v>
      </c>
      <c r="J25">
        <v>0</v>
      </c>
      <c r="K25" s="3">
        <v>0</v>
      </c>
    </row>
    <row r="26" spans="1:11" x14ac:dyDescent="0.3">
      <c r="A26" s="1">
        <v>24</v>
      </c>
      <c r="B26" t="s">
        <v>2</v>
      </c>
      <c r="C26" t="s">
        <v>20</v>
      </c>
      <c r="D26" t="s">
        <v>21</v>
      </c>
      <c r="E26" t="s">
        <v>10</v>
      </c>
      <c r="F26">
        <v>0</v>
      </c>
      <c r="G26" s="5">
        <f t="shared" si="0"/>
        <v>0</v>
      </c>
      <c r="H26">
        <v>0</v>
      </c>
      <c r="I26">
        <v>0</v>
      </c>
      <c r="J26">
        <v>0</v>
      </c>
      <c r="K26" s="3">
        <v>0</v>
      </c>
    </row>
    <row r="27" spans="1:11" x14ac:dyDescent="0.3">
      <c r="A27" s="1">
        <v>25</v>
      </c>
      <c r="B27" t="s">
        <v>2</v>
      </c>
      <c r="C27" t="s">
        <v>20</v>
      </c>
      <c r="D27" t="s">
        <v>21</v>
      </c>
      <c r="E27" t="s">
        <v>11</v>
      </c>
      <c r="F27">
        <v>0</v>
      </c>
      <c r="G27" s="5">
        <f t="shared" si="0"/>
        <v>0</v>
      </c>
      <c r="H27">
        <v>0</v>
      </c>
      <c r="I27">
        <v>0</v>
      </c>
      <c r="J27">
        <v>0</v>
      </c>
      <c r="K27" s="3">
        <v>0</v>
      </c>
    </row>
    <row r="28" spans="1:11" x14ac:dyDescent="0.3">
      <c r="A28" s="1">
        <v>26</v>
      </c>
      <c r="B28" t="s">
        <v>2</v>
      </c>
      <c r="C28" t="s">
        <v>20</v>
      </c>
      <c r="D28" t="s">
        <v>21</v>
      </c>
      <c r="E28" t="s">
        <v>12</v>
      </c>
      <c r="F28">
        <v>81380000</v>
      </c>
      <c r="G28" s="5">
        <f t="shared" si="0"/>
        <v>81.38</v>
      </c>
      <c r="H28">
        <v>6733498.9650860457</v>
      </c>
      <c r="I28">
        <v>0.7749979238623067</v>
      </c>
      <c r="J28">
        <v>1</v>
      </c>
      <c r="K28" s="3">
        <v>1.45480008258393E-2</v>
      </c>
    </row>
    <row r="29" spans="1:11" x14ac:dyDescent="0.3">
      <c r="A29" s="1">
        <v>27</v>
      </c>
      <c r="B29" t="s">
        <v>2</v>
      </c>
      <c r="C29" t="s">
        <v>20</v>
      </c>
      <c r="D29" t="s">
        <v>21</v>
      </c>
      <c r="E29" t="s">
        <v>13</v>
      </c>
      <c r="F29">
        <v>0</v>
      </c>
      <c r="G29" s="5">
        <f t="shared" si="0"/>
        <v>0</v>
      </c>
      <c r="H29">
        <v>0</v>
      </c>
      <c r="I29">
        <v>0</v>
      </c>
      <c r="J29">
        <v>0</v>
      </c>
      <c r="K29" s="3">
        <v>0</v>
      </c>
    </row>
    <row r="30" spans="1:11" x14ac:dyDescent="0.3">
      <c r="A30" s="1">
        <v>28</v>
      </c>
      <c r="B30" t="s">
        <v>2</v>
      </c>
      <c r="C30" t="s">
        <v>20</v>
      </c>
      <c r="D30" t="s">
        <v>22</v>
      </c>
      <c r="E30" t="s">
        <v>10</v>
      </c>
      <c r="F30">
        <v>197989898.73223329</v>
      </c>
      <c r="G30" s="5">
        <f t="shared" si="0"/>
        <v>197.98989873223329</v>
      </c>
      <c r="H30">
        <v>16381970.73250165</v>
      </c>
      <c r="I30">
        <v>1.8854971794444479</v>
      </c>
      <c r="J30">
        <v>0.50533668383008135</v>
      </c>
      <c r="K30" s="3">
        <v>3.5393920008163778E-2</v>
      </c>
    </row>
    <row r="31" spans="1:11" x14ac:dyDescent="0.3">
      <c r="A31" s="1">
        <v>29</v>
      </c>
      <c r="B31" t="s">
        <v>2</v>
      </c>
      <c r="C31" t="s">
        <v>20</v>
      </c>
      <c r="D31" t="s">
        <v>22</v>
      </c>
      <c r="E31" t="s">
        <v>11</v>
      </c>
      <c r="F31">
        <v>166989.81645409251</v>
      </c>
      <c r="G31" s="5">
        <f t="shared" si="0"/>
        <v>0.1669898164540925</v>
      </c>
      <c r="H31">
        <v>166989.81645409251</v>
      </c>
      <c r="I31">
        <v>1.9219838263748151E-2</v>
      </c>
      <c r="J31">
        <v>5.1511555879466941E-3</v>
      </c>
      <c r="K31" s="3">
        <v>3.6078835094167802E-4</v>
      </c>
    </row>
    <row r="32" spans="1:11" x14ac:dyDescent="0.3">
      <c r="A32" s="1">
        <v>30</v>
      </c>
      <c r="B32" t="s">
        <v>2</v>
      </c>
      <c r="C32" t="s">
        <v>20</v>
      </c>
      <c r="D32" t="s">
        <v>22</v>
      </c>
      <c r="E32" t="s">
        <v>12</v>
      </c>
      <c r="F32">
        <v>33397963.290818501</v>
      </c>
      <c r="G32" s="5">
        <f t="shared" si="0"/>
        <v>33.397963290818502</v>
      </c>
      <c r="H32">
        <v>2763395.8129111342</v>
      </c>
      <c r="I32">
        <v>0.31805544619825338</v>
      </c>
      <c r="J32">
        <v>8.524281351790676E-2</v>
      </c>
      <c r="K32" s="3">
        <v>5.970430050825485E-3</v>
      </c>
    </row>
    <row r="33" spans="1:11" x14ac:dyDescent="0.3">
      <c r="A33" s="1">
        <v>31</v>
      </c>
      <c r="B33" t="s">
        <v>2</v>
      </c>
      <c r="C33" t="s">
        <v>20</v>
      </c>
      <c r="D33" t="s">
        <v>22</v>
      </c>
      <c r="E33" t="s">
        <v>13</v>
      </c>
      <c r="F33">
        <v>158391918.98578659</v>
      </c>
      <c r="G33" s="5">
        <f t="shared" si="0"/>
        <v>158.39191898578659</v>
      </c>
      <c r="H33">
        <v>13105576.58600132</v>
      </c>
      <c r="I33">
        <v>1.508397743555558</v>
      </c>
      <c r="J33">
        <v>0.40426934706406509</v>
      </c>
      <c r="K33" s="3">
        <v>2.831513600653103E-2</v>
      </c>
    </row>
    <row r="34" spans="1:11" x14ac:dyDescent="0.3">
      <c r="A34" s="1">
        <v>32</v>
      </c>
      <c r="B34" t="s">
        <v>2</v>
      </c>
      <c r="C34" t="s">
        <v>20</v>
      </c>
      <c r="D34" t="s">
        <v>23</v>
      </c>
      <c r="E34" t="s">
        <v>10</v>
      </c>
      <c r="F34">
        <v>53333333.333333343</v>
      </c>
      <c r="G34" s="5">
        <f t="shared" si="0"/>
        <v>53.333333333333343</v>
      </c>
      <c r="H34">
        <v>4412877.1787243681</v>
      </c>
      <c r="I34">
        <v>0.50790393961648672</v>
      </c>
      <c r="J34">
        <v>0.3040391578405961</v>
      </c>
      <c r="K34" s="3">
        <v>9.5342022287797454E-3</v>
      </c>
    </row>
    <row r="35" spans="1:11" x14ac:dyDescent="0.3">
      <c r="A35" s="1">
        <v>33</v>
      </c>
      <c r="B35" t="s">
        <v>2</v>
      </c>
      <c r="C35" t="s">
        <v>20</v>
      </c>
      <c r="D35" t="s">
        <v>23</v>
      </c>
      <c r="E35" t="s">
        <v>11</v>
      </c>
      <c r="F35">
        <v>374452.16</v>
      </c>
      <c r="G35" s="5">
        <f t="shared" si="0"/>
        <v>0.37445215999999998</v>
      </c>
      <c r="H35">
        <v>374452.16</v>
      </c>
      <c r="I35">
        <v>4.3097897258241868E-2</v>
      </c>
      <c r="J35">
        <v>2.5799068219456371E-2</v>
      </c>
      <c r="K35" s="3">
        <v>8.0901925747124497E-4</v>
      </c>
    </row>
    <row r="36" spans="1:11" x14ac:dyDescent="0.3">
      <c r="A36" s="1">
        <v>34</v>
      </c>
      <c r="B36" t="s">
        <v>2</v>
      </c>
      <c r="C36" t="s">
        <v>20</v>
      </c>
      <c r="D36" t="s">
        <v>23</v>
      </c>
      <c r="E36" t="s">
        <v>12</v>
      </c>
      <c r="F36">
        <v>74890432</v>
      </c>
      <c r="G36" s="5">
        <f t="shared" si="0"/>
        <v>74.890432000000004</v>
      </c>
      <c r="H36">
        <v>6196542.7177051716</v>
      </c>
      <c r="I36">
        <v>0.71319647723213642</v>
      </c>
      <c r="J36">
        <v>0.42693044766747063</v>
      </c>
      <c r="K36" s="3">
        <v>1.3387884819162711E-2</v>
      </c>
    </row>
    <row r="37" spans="1:11" x14ac:dyDescent="0.3">
      <c r="A37" s="1">
        <v>35</v>
      </c>
      <c r="B37" t="s">
        <v>2</v>
      </c>
      <c r="C37" t="s">
        <v>20</v>
      </c>
      <c r="D37" t="s">
        <v>23</v>
      </c>
      <c r="E37" t="s">
        <v>13</v>
      </c>
      <c r="F37">
        <v>42666666.666666672</v>
      </c>
      <c r="G37" s="5">
        <f t="shared" si="0"/>
        <v>42.666666666666671</v>
      </c>
      <c r="H37">
        <v>3530301.7429794949</v>
      </c>
      <c r="I37">
        <v>0.40632315169318939</v>
      </c>
      <c r="J37">
        <v>0.2432313262724769</v>
      </c>
      <c r="K37" s="3">
        <v>7.6273617830237977E-3</v>
      </c>
    </row>
    <row r="38" spans="1:11" x14ac:dyDescent="0.3">
      <c r="A38" s="1">
        <v>36</v>
      </c>
      <c r="B38" t="s">
        <v>1</v>
      </c>
      <c r="C38" t="s">
        <v>15</v>
      </c>
      <c r="D38" t="s">
        <v>24</v>
      </c>
      <c r="E38" t="s">
        <v>12</v>
      </c>
      <c r="F38">
        <v>968222024.1356113</v>
      </c>
      <c r="G38" s="5">
        <f t="shared" si="0"/>
        <v>968.22202413561126</v>
      </c>
      <c r="H38">
        <v>80112091.39211911</v>
      </c>
      <c r="I38">
        <v>9.2205708840361122</v>
      </c>
      <c r="J38">
        <v>0.73390442670917144</v>
      </c>
      <c r="K38" s="3">
        <v>0.17308546088376339</v>
      </c>
    </row>
    <row r="39" spans="1:11" x14ac:dyDescent="0.3">
      <c r="A39" s="1">
        <v>37</v>
      </c>
      <c r="B39" t="s">
        <v>1</v>
      </c>
      <c r="C39" t="s">
        <v>15</v>
      </c>
      <c r="D39" t="s">
        <v>24</v>
      </c>
      <c r="E39" t="s">
        <v>13</v>
      </c>
      <c r="F39">
        <v>0</v>
      </c>
      <c r="G39" s="5">
        <f t="shared" si="0"/>
        <v>0</v>
      </c>
      <c r="H39">
        <v>0</v>
      </c>
      <c r="I39">
        <v>0</v>
      </c>
      <c r="J39">
        <v>0</v>
      </c>
      <c r="K39" s="3">
        <v>0</v>
      </c>
    </row>
    <row r="40" spans="1:11" x14ac:dyDescent="0.3">
      <c r="A40" s="1">
        <v>38</v>
      </c>
      <c r="B40" t="s">
        <v>1</v>
      </c>
      <c r="C40" t="s">
        <v>15</v>
      </c>
      <c r="D40" t="s">
        <v>24</v>
      </c>
      <c r="E40" t="s">
        <v>10</v>
      </c>
      <c r="F40">
        <v>0</v>
      </c>
      <c r="G40" s="5">
        <f t="shared" si="0"/>
        <v>0</v>
      </c>
      <c r="H40">
        <v>0</v>
      </c>
      <c r="I40">
        <v>0</v>
      </c>
      <c r="J40">
        <v>0</v>
      </c>
      <c r="K40" s="3">
        <v>0</v>
      </c>
    </row>
    <row r="41" spans="1:11" x14ac:dyDescent="0.3">
      <c r="A41" s="1">
        <v>39</v>
      </c>
      <c r="B41" t="s">
        <v>1</v>
      </c>
      <c r="C41" t="s">
        <v>15</v>
      </c>
      <c r="D41" t="s">
        <v>24</v>
      </c>
      <c r="E41" t="s">
        <v>11</v>
      </c>
      <c r="F41">
        <v>29046660.72406834</v>
      </c>
      <c r="G41" s="5">
        <f t="shared" si="0"/>
        <v>29.046660724068339</v>
      </c>
      <c r="H41">
        <v>29046660.72406834</v>
      </c>
      <c r="I41">
        <v>3.3431506966895488</v>
      </c>
      <c r="J41">
        <v>0.26609557329082839</v>
      </c>
      <c r="K41" s="3">
        <v>6.275650243546449E-2</v>
      </c>
    </row>
    <row r="42" spans="1:11" x14ac:dyDescent="0.3">
      <c r="A42" s="1">
        <v>40</v>
      </c>
      <c r="B42" t="s">
        <v>1</v>
      </c>
      <c r="C42" t="s">
        <v>20</v>
      </c>
      <c r="D42" t="s">
        <v>24</v>
      </c>
      <c r="E42" t="s">
        <v>12</v>
      </c>
      <c r="F42">
        <v>189668395.29081851</v>
      </c>
      <c r="G42" s="5">
        <f t="shared" si="0"/>
        <v>189.66839529081852</v>
      </c>
      <c r="H42">
        <v>15693437.495702351</v>
      </c>
      <c r="I42">
        <v>1.806249847292696</v>
      </c>
      <c r="J42">
        <v>0.29243008231037182</v>
      </c>
      <c r="K42" s="3">
        <v>3.3906315695827492E-2</v>
      </c>
    </row>
    <row r="43" spans="1:11" x14ac:dyDescent="0.3">
      <c r="A43" s="1">
        <v>41</v>
      </c>
      <c r="B43" t="s">
        <v>1</v>
      </c>
      <c r="C43" t="s">
        <v>20</v>
      </c>
      <c r="D43" t="s">
        <v>24</v>
      </c>
      <c r="E43" t="s">
        <v>13</v>
      </c>
      <c r="F43">
        <v>201058585.6524533</v>
      </c>
      <c r="G43" s="5">
        <f t="shared" si="0"/>
        <v>201.0585856524533</v>
      </c>
      <c r="H43">
        <v>16635878.328980809</v>
      </c>
      <c r="I43">
        <v>1.914720895248748</v>
      </c>
      <c r="J43">
        <v>0.30999143880245628</v>
      </c>
      <c r="K43" s="3">
        <v>3.5942497789554821E-2</v>
      </c>
    </row>
    <row r="44" spans="1:11" x14ac:dyDescent="0.3">
      <c r="A44" s="1">
        <v>42</v>
      </c>
      <c r="B44" t="s">
        <v>1</v>
      </c>
      <c r="C44" t="s">
        <v>20</v>
      </c>
      <c r="D44" t="s">
        <v>24</v>
      </c>
      <c r="E44" t="s">
        <v>10</v>
      </c>
      <c r="F44">
        <v>251323232.06556669</v>
      </c>
      <c r="G44" s="5">
        <f t="shared" si="0"/>
        <v>251.32323206556669</v>
      </c>
      <c r="H44">
        <v>20794847.911226019</v>
      </c>
      <c r="I44">
        <v>2.3934011190609348</v>
      </c>
      <c r="J44">
        <v>0.38748929850307051</v>
      </c>
      <c r="K44" s="3">
        <v>4.4928122236943542E-2</v>
      </c>
    </row>
    <row r="45" spans="1:11" x14ac:dyDescent="0.3">
      <c r="A45" s="1">
        <v>43</v>
      </c>
      <c r="B45" t="s">
        <v>1</v>
      </c>
      <c r="C45" t="s">
        <v>20</v>
      </c>
      <c r="D45" t="s">
        <v>24</v>
      </c>
      <c r="E45" t="s">
        <v>11</v>
      </c>
      <c r="F45">
        <v>541441.97645409254</v>
      </c>
      <c r="G45" s="5">
        <f t="shared" si="0"/>
        <v>0.54144197645409253</v>
      </c>
      <c r="H45">
        <v>541441.97645409254</v>
      </c>
      <c r="I45">
        <v>6.231773552199002E-2</v>
      </c>
      <c r="J45">
        <v>1.0089180384101341E-2</v>
      </c>
      <c r="K45" s="3">
        <v>1.169807608412923E-3</v>
      </c>
    </row>
    <row r="46" spans="1:11" x14ac:dyDescent="0.3">
      <c r="A46" s="1">
        <v>44</v>
      </c>
      <c r="B46" t="s">
        <v>1</v>
      </c>
      <c r="C46" t="s">
        <v>9</v>
      </c>
      <c r="D46" t="s">
        <v>24</v>
      </c>
      <c r="E46" t="s">
        <v>12</v>
      </c>
      <c r="F46">
        <v>3012340770</v>
      </c>
      <c r="G46" s="5">
        <f t="shared" si="0"/>
        <v>3012.3407699999998</v>
      </c>
      <c r="H46">
        <v>249245434.4713873</v>
      </c>
      <c r="I46">
        <v>28.687120210319272</v>
      </c>
      <c r="J46">
        <v>0.83075533330579809</v>
      </c>
      <c r="K46" s="3">
        <v>0.53850498905958932</v>
      </c>
    </row>
    <row r="47" spans="1:11" x14ac:dyDescent="0.3">
      <c r="A47" s="1">
        <v>45</v>
      </c>
      <c r="B47" t="s">
        <v>1</v>
      </c>
      <c r="C47" t="s">
        <v>9</v>
      </c>
      <c r="D47" t="s">
        <v>24</v>
      </c>
      <c r="E47" t="s">
        <v>13</v>
      </c>
      <c r="F47">
        <v>107200000</v>
      </c>
      <c r="G47" s="5">
        <f t="shared" si="0"/>
        <v>107.2</v>
      </c>
      <c r="H47">
        <v>8869883.1292359792</v>
      </c>
      <c r="I47">
        <v>1.0208869186291381</v>
      </c>
      <c r="J47">
        <v>2.9564042892259342E-2</v>
      </c>
      <c r="K47" s="3">
        <v>1.9163746479847289E-2</v>
      </c>
    </row>
    <row r="48" spans="1:11" x14ac:dyDescent="0.3">
      <c r="A48" s="1">
        <v>46</v>
      </c>
      <c r="B48" t="s">
        <v>1</v>
      </c>
      <c r="C48" t="s">
        <v>9</v>
      </c>
      <c r="D48" t="s">
        <v>24</v>
      </c>
      <c r="E48" t="s">
        <v>10</v>
      </c>
      <c r="F48">
        <v>134000000</v>
      </c>
      <c r="G48" s="5">
        <f t="shared" si="0"/>
        <v>134</v>
      </c>
      <c r="H48">
        <v>11087353.911544969</v>
      </c>
      <c r="I48">
        <v>1.276108648286423</v>
      </c>
      <c r="J48">
        <v>3.6955053615324182E-2</v>
      </c>
      <c r="K48" s="3">
        <v>2.395468309980911E-2</v>
      </c>
    </row>
    <row r="49" spans="1:11" x14ac:dyDescent="0.3">
      <c r="A49" s="1">
        <v>47</v>
      </c>
      <c r="B49" t="s">
        <v>1</v>
      </c>
      <c r="C49" t="s">
        <v>9</v>
      </c>
      <c r="D49" t="s">
        <v>24</v>
      </c>
      <c r="E49" t="s">
        <v>11</v>
      </c>
      <c r="F49">
        <v>30820000</v>
      </c>
      <c r="G49" s="5">
        <f t="shared" si="0"/>
        <v>30.82</v>
      </c>
      <c r="H49">
        <v>30820000</v>
      </c>
      <c r="I49">
        <v>3.547254724072133</v>
      </c>
      <c r="J49">
        <v>0.1027255701866184</v>
      </c>
      <c r="K49" s="3">
        <v>6.6587874710787531E-2</v>
      </c>
    </row>
    <row r="50" spans="1:11" x14ac:dyDescent="0.3">
      <c r="A50" s="1">
        <v>48</v>
      </c>
      <c r="B50" t="s">
        <v>25</v>
      </c>
      <c r="C50" t="s">
        <v>24</v>
      </c>
      <c r="D50" t="s">
        <v>24</v>
      </c>
      <c r="E50" t="s">
        <v>12</v>
      </c>
      <c r="F50">
        <v>4170231189.4264302</v>
      </c>
      <c r="G50" s="5">
        <f t="shared" si="0"/>
        <v>4170.2311894264303</v>
      </c>
      <c r="H50">
        <v>345050963.35920882</v>
      </c>
      <c r="I50">
        <v>39.713940941648097</v>
      </c>
      <c r="J50">
        <v>0.74549676563918033</v>
      </c>
      <c r="K50" s="3">
        <v>0.74549676563918033</v>
      </c>
    </row>
    <row r="51" spans="1:11" x14ac:dyDescent="0.3">
      <c r="A51" s="1">
        <v>49</v>
      </c>
      <c r="B51" t="s">
        <v>25</v>
      </c>
      <c r="C51" t="s">
        <v>24</v>
      </c>
      <c r="D51" t="s">
        <v>24</v>
      </c>
      <c r="E51" t="s">
        <v>13</v>
      </c>
      <c r="F51">
        <v>308258585.6524533</v>
      </c>
      <c r="G51" s="5">
        <f t="shared" si="0"/>
        <v>308.25858565245329</v>
      </c>
      <c r="H51">
        <v>25505761.45821679</v>
      </c>
      <c r="I51">
        <v>2.9356078138778861</v>
      </c>
      <c r="J51">
        <v>5.510624426940211E-2</v>
      </c>
      <c r="K51" s="3">
        <v>5.510624426940211E-2</v>
      </c>
    </row>
    <row r="52" spans="1:11" x14ac:dyDescent="0.3">
      <c r="A52" s="1">
        <v>50</v>
      </c>
      <c r="B52" t="s">
        <v>25</v>
      </c>
      <c r="C52" t="s">
        <v>24</v>
      </c>
      <c r="D52" t="s">
        <v>24</v>
      </c>
      <c r="E52" t="s">
        <v>10</v>
      </c>
      <c r="F52">
        <v>385323232.06556672</v>
      </c>
      <c r="G52" s="5">
        <f t="shared" si="0"/>
        <v>385.32323206556674</v>
      </c>
      <c r="H52">
        <v>31882201.82277099</v>
      </c>
      <c r="I52">
        <v>3.6695097673473578</v>
      </c>
      <c r="J52">
        <v>6.8882805336752645E-2</v>
      </c>
      <c r="K52" s="3">
        <v>6.8882805336752645E-2</v>
      </c>
    </row>
    <row r="53" spans="1:11" x14ac:dyDescent="0.3">
      <c r="A53" s="1">
        <v>51</v>
      </c>
      <c r="B53" t="s">
        <v>25</v>
      </c>
      <c r="C53" t="s">
        <v>24</v>
      </c>
      <c r="D53" t="s">
        <v>24</v>
      </c>
      <c r="E53" t="s">
        <v>11</v>
      </c>
      <c r="F53">
        <v>60408102.70052243</v>
      </c>
      <c r="G53" s="5">
        <f t="shared" si="0"/>
        <v>60.408102700522427</v>
      </c>
      <c r="H53">
        <v>60408102.70052243</v>
      </c>
      <c r="I53">
        <v>6.952723156283672</v>
      </c>
      <c r="J53">
        <v>0.13051418475466489</v>
      </c>
      <c r="K53" s="3">
        <v>0.13051418475466489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DB144859B4EE4CB039B18FB536882E" ma:contentTypeVersion="22" ma:contentTypeDescription="Create a new document." ma:contentTypeScope="" ma:versionID="f35f845e19e9f960c769d3eec311c6f7">
  <xsd:schema xmlns:xsd="http://www.w3.org/2001/XMLSchema" xmlns:xs="http://www.w3.org/2001/XMLSchema" xmlns:p="http://schemas.microsoft.com/office/2006/metadata/properties" xmlns:ns2="6cea53e0-2c3d-4bee-90d6-026564cf89e5" xmlns:ns3="15c92b00-d93f-4882-809f-f7c5befd140b" targetNamespace="http://schemas.microsoft.com/office/2006/metadata/properties" ma:root="true" ma:fieldsID="d2f12032b40738d4e066ed0eabdff137" ns2:_="" ns3:_="">
    <xsd:import namespace="6cea53e0-2c3d-4bee-90d6-026564cf89e5"/>
    <xsd:import namespace="15c92b00-d93f-4882-809f-f7c5befd14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DocumentID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Statu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a53e0-2c3d-4bee-90d6-026564cf89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DocumentID" ma:index="20" nillable="true" ma:displayName="Document ID" ma:format="Dropdown" ma:list="6cea53e0-2c3d-4bee-90d6-026564cf89e5" ma:internalName="DocumentID" ma:showField="ID">
      <xsd:simpleType>
        <xsd:restriction base="dms:Lookup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89ec43a-4709-4bd5-aa9c-72cc12c08b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5" nillable="true" ma:displayName="Release status" ma:format="Dropdown" ma:internalName="Status">
      <xsd:simpleType>
        <xsd:restriction base="dms:Choice">
          <xsd:enumeration value="Active"/>
          <xsd:enumeration value="Archived"/>
          <xsd:enumeration value="Obsolete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92b00-d93f-4882-809f-f7c5befd140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1baf65c-1aac-4aff-9538-66cf38d5d38b}" ma:internalName="TaxCatchAll" ma:showField="CatchAllData" ma:web="15c92b00-d93f-4882-809f-f7c5befd14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c92b00-d93f-4882-809f-f7c5befd140b" xsi:nil="true"/>
    <lcf76f155ced4ddcb4097134ff3c332f xmlns="6cea53e0-2c3d-4bee-90d6-026564cf89e5">
      <Terms xmlns="http://schemas.microsoft.com/office/infopath/2007/PartnerControls"/>
    </lcf76f155ced4ddcb4097134ff3c332f>
    <Status xmlns="6cea53e0-2c3d-4bee-90d6-026564cf89e5" xsi:nil="true"/>
    <_Flow_SignoffStatus xmlns="6cea53e0-2c3d-4bee-90d6-026564cf89e5" xsi:nil="true"/>
    <DocumentID xmlns="6cea53e0-2c3d-4bee-90d6-026564cf89e5" xsi:nil="true"/>
  </documentManagement>
</p:properties>
</file>

<file path=customXml/itemProps1.xml><?xml version="1.0" encoding="utf-8"?>
<ds:datastoreItem xmlns:ds="http://schemas.openxmlformats.org/officeDocument/2006/customXml" ds:itemID="{8CEA101A-C3AF-4F91-8314-9E3D50BE1D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8259F7-2A01-4021-A56D-C042A945D6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ea53e0-2c3d-4bee-90d6-026564cf89e5"/>
    <ds:schemaRef ds:uri="15c92b00-d93f-4882-809f-f7c5befd14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40E113-86CA-437B-9528-FDF5B68B65B7}">
  <ds:schemaRefs>
    <ds:schemaRef ds:uri="http://schemas.microsoft.com/office/2006/metadata/properties"/>
    <ds:schemaRef ds:uri="http://schemas.microsoft.com/office/infopath/2007/PartnerControls"/>
    <ds:schemaRef ds:uri="15c92b00-d93f-4882-809f-f7c5befd140b"/>
    <ds:schemaRef ds:uri="6cea53e0-2c3d-4bee-90d6-026564cf89e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Verbist</cp:lastModifiedBy>
  <dcterms:created xsi:type="dcterms:W3CDTF">2026-02-27T10:43:31Z</dcterms:created>
  <dcterms:modified xsi:type="dcterms:W3CDTF">2026-02-27T11:17:10Z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0x01010047DB144859B4EE4CB039B18FB536882E</vt:lpwstr>
  </property>
  <property fmtid="{D5CDD505-2E9C-101B-9397-08002B2CF9AE}" pid="3" name="MediaServiceImageTags">
    <vt:lpwstr/>
  </property>
</Properties>
</file>