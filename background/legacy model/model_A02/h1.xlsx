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n5a1435c9a7e5c.sharepoint.com/sites/Technology/Shared Documents/HT02 Projects/HT02-047 Wind2Wheel COW2WEH/Simulations/offshore/model_A01/"/>
    </mc:Choice>
  </mc:AlternateContent>
  <xr:revisionPtr revIDLastSave="20" documentId="11_DACDADD42F32353AC5AEC0B13EA6F54F7040F2E7" xr6:coauthVersionLast="47" xr6:coauthVersionMax="47" xr10:uidLastSave="{B946EFA4-EE35-42AE-8C20-E2E905870730}"/>
  <bookViews>
    <workbookView xWindow="-108" yWindow="-108" windowWidth="23256" windowHeight="12456" xr2:uid="{00000000-000D-0000-FFFF-FFFF00000000}"/>
  </bookViews>
  <sheets>
    <sheet name="Components" sheetId="1" r:id="rId1"/>
    <sheet name="Sections" sheetId="2" r:id="rId2"/>
    <sheet name="Totals" sheetId="3" r:id="rId3"/>
    <sheet name="Inputs" sheetId="4" r:id="rId4"/>
  </sheets>
  <definedNames>
    <definedName name="_xlnm._FilterDatabase" localSheetId="0" hidden="1">Components!$A$1:$O$9</definedName>
    <definedName name="_xlnm._FilterDatabase" localSheetId="3" hidden="1">Inputs!$A$1:$B$15</definedName>
    <definedName name="_xlnm._FilterDatabase" localSheetId="1" hidden="1">Sections!$A$1:$L$5</definedName>
    <definedName name="_xlnm._FilterDatabase" localSheetId="2" hidden="1">Totals!$A$1:$K$2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10" i="1"/>
  <c r="G3" i="1" s="1"/>
  <c r="G2" i="1" l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<sst xmlns="http://schemas.openxmlformats.org/spreadsheetml/2006/main" count="101" uniqueCount="38">
  <si>
    <t>scenario_id</t>
  </si>
  <si>
    <t>carrier</t>
  </si>
  <si>
    <t>section</t>
  </si>
  <si>
    <t>component</t>
  </si>
  <si>
    <t>yield_mwh</t>
  </si>
  <si>
    <t>LCOE</t>
  </si>
  <si>
    <t>annual_capex</t>
  </si>
  <si>
    <t>annual_opex</t>
  </si>
  <si>
    <t>annual_total</t>
  </si>
  <si>
    <t>capex</t>
  </si>
  <si>
    <t>decommissioning</t>
  </si>
  <si>
    <t>installation</t>
  </si>
  <si>
    <t>opex</t>
  </si>
  <si>
    <t>scenario</t>
  </si>
  <si>
    <t>hydrogen</t>
  </si>
  <si>
    <t>export</t>
  </si>
  <si>
    <t>farm</t>
  </si>
  <si>
    <t>development</t>
  </si>
  <si>
    <t>foundation</t>
  </si>
  <si>
    <t>infield</t>
  </si>
  <si>
    <t>bop</t>
  </si>
  <si>
    <t>compressor</t>
  </si>
  <si>
    <t>stack</t>
  </si>
  <si>
    <t>turbine</t>
  </si>
  <si>
    <t>parameter</t>
  </si>
  <si>
    <t>value</t>
  </si>
  <si>
    <t>num_turbines</t>
  </si>
  <si>
    <t>turbine_capacity_MW</t>
  </si>
  <si>
    <t>farm_capacity_MW</t>
  </si>
  <si>
    <t>wake_loss_frac</t>
  </si>
  <si>
    <t>farm_cf</t>
  </si>
  <si>
    <t>stack_size_MW</t>
  </si>
  <si>
    <t>compressor_outlet_pressure_bar</t>
  </si>
  <si>
    <t>export_capacity_MW</t>
  </si>
  <si>
    <t>H2_export_capacity_kgph</t>
  </si>
  <si>
    <t>elx_export_capacity_MW</t>
  </si>
  <si>
    <t>num_export_pipelines</t>
  </si>
  <si>
    <t>EUR/kW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</si>
</sst>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\€#,##0"/>
    <numFmt numFmtId="166" formatCode="_ &quot;€&quot;\ * #,##0_ ;_ &quot;€&quot;\ * \-#,##0_ ;_ &quot;€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2" applyFont="1"/>
    <xf numFmtId="44" fontId="0" fillId="0" borderId="0" xfId="1" applyFont="1"/>
    <xf numFmtId="166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3" customWidth="1"/>
    <col min="2" max="3" width="10" customWidth="1"/>
    <col min="4" max="4" width="13" customWidth="1"/>
    <col min="5" max="5" width="19" customWidth="1"/>
    <col min="6" max="8" width="20" customWidth="1"/>
    <col min="9" max="15" width="1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37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15</v>
      </c>
      <c r="E2" s="2">
        <v>7174560.4981842749</v>
      </c>
      <c r="F2" s="6">
        <v>2.5807867291416589</v>
      </c>
      <c r="G2" s="5">
        <f>F2/$G$10</f>
        <v>4.3008766583245768E-2</v>
      </c>
      <c r="H2" s="7">
        <f>L2/2000000</f>
        <v>108.12</v>
      </c>
      <c r="I2" s="4">
        <v>17892010.521137949</v>
      </c>
      <c r="J2" s="4">
        <v>624000</v>
      </c>
      <c r="K2" s="4">
        <v>18516010.521137949</v>
      </c>
      <c r="L2" s="4">
        <v>216240000</v>
      </c>
      <c r="M2" s="4">
        <v>40640000</v>
      </c>
      <c r="N2" s="4">
        <v>50800000</v>
      </c>
      <c r="O2" s="4">
        <v>624000</v>
      </c>
    </row>
    <row r="3" spans="1:15" x14ac:dyDescent="0.3">
      <c r="A3" t="s">
        <v>13</v>
      </c>
      <c r="B3" t="s">
        <v>14</v>
      </c>
      <c r="C3" t="s">
        <v>16</v>
      </c>
      <c r="D3" t="s">
        <v>17</v>
      </c>
      <c r="E3" s="2">
        <v>7174560.4981842749</v>
      </c>
      <c r="F3" s="6">
        <v>0.93852424365090348</v>
      </c>
      <c r="G3" s="5">
        <f>F3/$G$10</f>
        <v>1.5640490425694285E-2</v>
      </c>
      <c r="H3" s="7">
        <f t="shared" ref="H3:H9" si="0">L3/2000000</f>
        <v>40.69</v>
      </c>
      <c r="I3" s="4">
        <v>6733498.9650860457</v>
      </c>
      <c r="J3" s="4">
        <v>0</v>
      </c>
      <c r="K3" s="4">
        <v>6733498.9650860457</v>
      </c>
      <c r="L3" s="4">
        <v>81380000</v>
      </c>
      <c r="M3" s="4">
        <v>0</v>
      </c>
      <c r="N3" s="4">
        <v>0</v>
      </c>
      <c r="O3" s="4">
        <v>0</v>
      </c>
    </row>
    <row r="4" spans="1:15" x14ac:dyDescent="0.3">
      <c r="A4" t="s">
        <v>13</v>
      </c>
      <c r="B4" t="s">
        <v>14</v>
      </c>
      <c r="C4" t="s">
        <v>16</v>
      </c>
      <c r="D4" t="s">
        <v>18</v>
      </c>
      <c r="E4" s="2">
        <v>7174560.4981842749</v>
      </c>
      <c r="F4" s="6">
        <v>12.614202714292359</v>
      </c>
      <c r="G4" s="5">
        <f>F4/$G$10</f>
        <v>0.21021547191277673</v>
      </c>
      <c r="H4" s="7">
        <f t="shared" si="0"/>
        <v>522.6</v>
      </c>
      <c r="I4" s="4">
        <v>86481360.510050803</v>
      </c>
      <c r="J4" s="4">
        <v>4020000</v>
      </c>
      <c r="K4" s="4">
        <v>90501360.510050803</v>
      </c>
      <c r="L4" s="4">
        <v>1045200000</v>
      </c>
      <c r="M4" s="4">
        <v>107200000</v>
      </c>
      <c r="N4" s="4">
        <v>134000000</v>
      </c>
      <c r="O4" s="4">
        <v>4020000</v>
      </c>
    </row>
    <row r="5" spans="1:15" x14ac:dyDescent="0.3">
      <c r="A5" t="s">
        <v>13</v>
      </c>
      <c r="B5" t="s">
        <v>14</v>
      </c>
      <c r="C5" t="s">
        <v>16</v>
      </c>
      <c r="D5" t="s">
        <v>19</v>
      </c>
      <c r="E5" s="2">
        <v>7174560.4981842749</v>
      </c>
      <c r="F5" s="6">
        <v>3.0183003101158619</v>
      </c>
      <c r="G5" s="5">
        <f>F5/$G$10</f>
        <v>5.0299922907262436E-2</v>
      </c>
      <c r="H5" s="7">
        <f t="shared" si="0"/>
        <v>129.85020877088058</v>
      </c>
      <c r="I5" s="4">
        <v>21487988.360160518</v>
      </c>
      <c r="J5" s="4">
        <v>166989.81645409251</v>
      </c>
      <c r="K5" s="4">
        <v>21654978.176614609</v>
      </c>
      <c r="L5" s="4">
        <v>259700417.54176119</v>
      </c>
      <c r="M5" s="4">
        <v>100578868.5559745</v>
      </c>
      <c r="N5" s="4">
        <v>125723585.69496819</v>
      </c>
      <c r="O5" s="4">
        <v>166989.81645409251</v>
      </c>
    </row>
    <row r="6" spans="1:15" x14ac:dyDescent="0.3">
      <c r="A6" t="s">
        <v>13</v>
      </c>
      <c r="B6" t="s">
        <v>14</v>
      </c>
      <c r="C6" t="s">
        <v>14</v>
      </c>
      <c r="D6" t="s">
        <v>20</v>
      </c>
      <c r="E6" s="2">
        <v>7174560.4981842749</v>
      </c>
      <c r="F6" s="6">
        <v>11.51282472735107</v>
      </c>
      <c r="G6" s="5">
        <f>F6/$G$10</f>
        <v>0.19186102664792626</v>
      </c>
      <c r="H6" s="7">
        <f t="shared" si="0"/>
        <v>366.32249999999999</v>
      </c>
      <c r="I6" s="4">
        <v>60620107.511372149</v>
      </c>
      <c r="J6" s="4">
        <v>21979350</v>
      </c>
      <c r="K6" s="4">
        <v>82599457.511372149</v>
      </c>
      <c r="L6" s="4">
        <v>732645000</v>
      </c>
      <c r="M6" s="4">
        <v>0</v>
      </c>
      <c r="N6" s="4">
        <v>0</v>
      </c>
      <c r="O6" s="4">
        <v>21979350</v>
      </c>
    </row>
    <row r="7" spans="1:15" x14ac:dyDescent="0.3">
      <c r="A7" t="s">
        <v>13</v>
      </c>
      <c r="B7" t="s">
        <v>14</v>
      </c>
      <c r="C7" t="s">
        <v>14</v>
      </c>
      <c r="D7" t="s">
        <v>21</v>
      </c>
      <c r="E7" s="2">
        <v>7174560.4981842749</v>
      </c>
      <c r="F7" s="6">
        <v>1.1445713614839721</v>
      </c>
      <c r="G7" s="5">
        <f>F7/$G$10</f>
        <v>1.9074262110881278E-2</v>
      </c>
      <c r="H7" s="7">
        <f t="shared" si="0"/>
        <v>36.418711523603911</v>
      </c>
      <c r="I7" s="4">
        <v>6026673.7860396691</v>
      </c>
      <c r="J7" s="4">
        <v>2185122.6914162338</v>
      </c>
      <c r="K7" s="4">
        <v>8211796.4774559028</v>
      </c>
      <c r="L7" s="4">
        <v>72837423.047207817</v>
      </c>
      <c r="M7" s="4">
        <v>0</v>
      </c>
      <c r="N7" s="4">
        <v>0</v>
      </c>
      <c r="O7" s="4">
        <v>2185122.6914162338</v>
      </c>
    </row>
    <row r="8" spans="1:15" x14ac:dyDescent="0.3">
      <c r="A8" t="s">
        <v>13</v>
      </c>
      <c r="B8" t="s">
        <v>14</v>
      </c>
      <c r="C8" t="s">
        <v>14</v>
      </c>
      <c r="D8" t="s">
        <v>22</v>
      </c>
      <c r="E8" s="2">
        <v>7174560.4981842749</v>
      </c>
      <c r="F8" s="6">
        <v>7.1066819304636244</v>
      </c>
      <c r="G8" s="5">
        <f>F8/$G$10</f>
        <v>0.11843273249871993</v>
      </c>
      <c r="H8" s="7">
        <f t="shared" si="0"/>
        <v>226.125</v>
      </c>
      <c r="I8" s="4">
        <v>37419819.451464288</v>
      </c>
      <c r="J8" s="4">
        <v>13567500</v>
      </c>
      <c r="K8" s="4">
        <v>50987319.451464288</v>
      </c>
      <c r="L8" s="4">
        <v>452250000</v>
      </c>
      <c r="M8" s="4">
        <v>0</v>
      </c>
      <c r="N8" s="4">
        <v>0</v>
      </c>
      <c r="O8" s="4">
        <v>13567500</v>
      </c>
    </row>
    <row r="9" spans="1:15" x14ac:dyDescent="0.3">
      <c r="A9" t="s">
        <v>13</v>
      </c>
      <c r="B9" t="s">
        <v>14</v>
      </c>
      <c r="C9" t="s">
        <v>23</v>
      </c>
      <c r="D9" t="s">
        <v>23</v>
      </c>
      <c r="E9" s="2">
        <v>7174560.4981842749</v>
      </c>
      <c r="F9" s="6">
        <v>21.09017033235699</v>
      </c>
      <c r="G9" s="5">
        <f>F9/$G$10</f>
        <v>0.35146732691349336</v>
      </c>
      <c r="H9" s="7">
        <f t="shared" si="0"/>
        <v>752.42038500000001</v>
      </c>
      <c r="I9" s="4">
        <v>124512702.96650641</v>
      </c>
      <c r="J9" s="4">
        <v>26800000</v>
      </c>
      <c r="K9" s="4">
        <v>151312702.96650639</v>
      </c>
      <c r="L9" s="4">
        <v>1504840770</v>
      </c>
      <c r="M9" s="4">
        <v>0</v>
      </c>
      <c r="N9" s="4">
        <v>0</v>
      </c>
      <c r="O9" s="4">
        <v>26800000</v>
      </c>
    </row>
    <row r="10" spans="1:15" x14ac:dyDescent="0.3">
      <c r="G10" s="6">
        <f>SUM(F:F)</f>
        <v>60.006062348856439</v>
      </c>
      <c r="H10" s="6"/>
    </row>
  </sheetData>
  <autoFilter ref="A1:O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0" customWidth="1"/>
    <col min="4" max="12" width="1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t="s">
        <v>13</v>
      </c>
      <c r="B2" t="s">
        <v>14</v>
      </c>
      <c r="C2" t="s">
        <v>15</v>
      </c>
      <c r="D2" s="2">
        <v>7174560.4981842749</v>
      </c>
      <c r="E2" s="3">
        <v>2.5807867291416589</v>
      </c>
      <c r="F2" s="4">
        <v>17892010.521137949</v>
      </c>
      <c r="G2" s="4">
        <v>624000</v>
      </c>
      <c r="H2" s="4">
        <v>18516010.521137949</v>
      </c>
      <c r="I2" s="4">
        <v>216240000</v>
      </c>
      <c r="J2" s="4">
        <v>40640000</v>
      </c>
      <c r="K2" s="4">
        <v>50800000</v>
      </c>
      <c r="L2" s="4">
        <v>624000</v>
      </c>
    </row>
    <row r="3" spans="1:12" x14ac:dyDescent="0.3">
      <c r="A3" t="s">
        <v>13</v>
      </c>
      <c r="B3" t="s">
        <v>14</v>
      </c>
      <c r="C3" t="s">
        <v>16</v>
      </c>
      <c r="D3" s="2">
        <v>7174560.4981842749</v>
      </c>
      <c r="E3" s="3">
        <v>16.571027268059119</v>
      </c>
      <c r="F3" s="4">
        <v>114702847.83529741</v>
      </c>
      <c r="G3" s="4">
        <v>4186989.816454093</v>
      </c>
      <c r="H3" s="4">
        <v>118889837.6517515</v>
      </c>
      <c r="I3" s="4">
        <v>1386280417.5417609</v>
      </c>
      <c r="J3" s="4">
        <v>207778868.55597451</v>
      </c>
      <c r="K3" s="4">
        <v>259723585.69496819</v>
      </c>
      <c r="L3" s="4">
        <v>4186989.816454093</v>
      </c>
    </row>
    <row r="4" spans="1:12" x14ac:dyDescent="0.3">
      <c r="A4" t="s">
        <v>13</v>
      </c>
      <c r="B4" t="s">
        <v>14</v>
      </c>
      <c r="C4" t="s">
        <v>14</v>
      </c>
      <c r="D4" s="2">
        <v>7174560.4981842749</v>
      </c>
      <c r="E4" s="3">
        <v>19.764078019298669</v>
      </c>
      <c r="F4" s="4">
        <v>104066600.74887609</v>
      </c>
      <c r="G4" s="4">
        <v>37731972.691416226</v>
      </c>
      <c r="H4" s="4">
        <v>141798573.44029239</v>
      </c>
      <c r="I4" s="4">
        <v>1257732423.0472081</v>
      </c>
      <c r="J4" s="4">
        <v>0</v>
      </c>
      <c r="K4" s="4">
        <v>0</v>
      </c>
      <c r="L4" s="4">
        <v>37731972.691416226</v>
      </c>
    </row>
    <row r="5" spans="1:12" x14ac:dyDescent="0.3">
      <c r="A5" t="s">
        <v>13</v>
      </c>
      <c r="B5" t="s">
        <v>14</v>
      </c>
      <c r="C5" t="s">
        <v>23</v>
      </c>
      <c r="D5" s="2">
        <v>7174560.4981842749</v>
      </c>
      <c r="E5" s="3">
        <v>21.09017033235699</v>
      </c>
      <c r="F5" s="4">
        <v>124512702.96650641</v>
      </c>
      <c r="G5" s="4">
        <v>26800000</v>
      </c>
      <c r="H5" s="4">
        <v>151312702.96650639</v>
      </c>
      <c r="I5" s="4">
        <v>1504840770</v>
      </c>
      <c r="J5" s="4">
        <v>0</v>
      </c>
      <c r="K5" s="4">
        <v>0</v>
      </c>
      <c r="L5" s="4">
        <v>26800000</v>
      </c>
    </row>
  </sheetData>
  <autoFilter ref="A1:L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0" customWidth="1"/>
    <col min="3" max="11" width="19" customWidth="1"/>
  </cols>
  <sheetData>
    <row r="1" spans="1:1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13</v>
      </c>
      <c r="B2" t="s">
        <v>14</v>
      </c>
      <c r="C2" s="2">
        <v>7174560.4981842749</v>
      </c>
      <c r="D2" s="3">
        <v>60.006062348856439</v>
      </c>
      <c r="E2" s="4">
        <v>361174162.07181782</v>
      </c>
      <c r="F2" s="4">
        <v>69342962.507870331</v>
      </c>
      <c r="G2" s="4">
        <v>430517124.57968807</v>
      </c>
      <c r="H2" s="4">
        <v>4365093610.5889692</v>
      </c>
      <c r="I2" s="4">
        <v>248418868.55597451</v>
      </c>
      <c r="J2" s="4">
        <v>310523585.69496822</v>
      </c>
      <c r="K2" s="4">
        <v>69342962.507870331</v>
      </c>
    </row>
  </sheetData>
  <autoFilter ref="A1:K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32" customWidth="1"/>
    <col min="2" max="2" width="20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0</v>
      </c>
      <c r="B2" t="s">
        <v>13</v>
      </c>
    </row>
    <row r="3" spans="1:2" x14ac:dyDescent="0.3">
      <c r="A3" t="s">
        <v>1</v>
      </c>
      <c r="B3" t="s">
        <v>14</v>
      </c>
    </row>
    <row r="4" spans="1:2" x14ac:dyDescent="0.3">
      <c r="A4" t="s">
        <v>26</v>
      </c>
      <c r="B4">
        <v>134</v>
      </c>
    </row>
    <row r="5" spans="1:2" x14ac:dyDescent="0.3">
      <c r="A5" t="s">
        <v>27</v>
      </c>
      <c r="B5">
        <v>15</v>
      </c>
    </row>
    <row r="6" spans="1:2" x14ac:dyDescent="0.3">
      <c r="A6" t="s">
        <v>28</v>
      </c>
      <c r="B6">
        <v>2010</v>
      </c>
    </row>
    <row r="7" spans="1:2" x14ac:dyDescent="0.3">
      <c r="A7" t="s">
        <v>29</v>
      </c>
      <c r="B7">
        <v>0.1092713120596286</v>
      </c>
    </row>
    <row r="8" spans="1:2" x14ac:dyDescent="0.3">
      <c r="A8" t="s">
        <v>30</v>
      </c>
      <c r="B8">
        <v>0.59271761355541641</v>
      </c>
    </row>
    <row r="9" spans="1:2" x14ac:dyDescent="0.3">
      <c r="A9" t="s">
        <v>4</v>
      </c>
      <c r="B9">
        <v>7174560.4981842749</v>
      </c>
    </row>
    <row r="10" spans="1:2" x14ac:dyDescent="0.3">
      <c r="A10" t="s">
        <v>31</v>
      </c>
      <c r="B10">
        <v>30</v>
      </c>
    </row>
    <row r="11" spans="1:2" x14ac:dyDescent="0.3">
      <c r="A11" t="s">
        <v>32</v>
      </c>
      <c r="B11">
        <v>140</v>
      </c>
    </row>
    <row r="12" spans="1:2" x14ac:dyDescent="0.3">
      <c r="A12" t="s">
        <v>33</v>
      </c>
    </row>
    <row r="13" spans="1:2" x14ac:dyDescent="0.3">
      <c r="A13" t="s">
        <v>34</v>
      </c>
      <c r="B13">
        <v>43346.192838358722</v>
      </c>
    </row>
    <row r="14" spans="1:2" x14ac:dyDescent="0.3">
      <c r="A14" t="s">
        <v>35</v>
      </c>
      <c r="B14">
        <v>15.375</v>
      </c>
    </row>
    <row r="15" spans="1:2" x14ac:dyDescent="0.3">
      <c r="A15" t="s">
        <v>36</v>
      </c>
      <c r="B15">
        <v>3</v>
      </c>
    </row>
  </sheetData>
  <autoFilter ref="A1:B15" xr:uid="{00000000-0009-0000-0000-000003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B144859B4EE4CB039B18FB536882E" ma:contentTypeVersion="22" ma:contentTypeDescription="Create a new document." ma:contentTypeScope="" ma:versionID="f35f845e19e9f960c769d3eec311c6f7">
  <xsd:schema xmlns:xsd="http://www.w3.org/2001/XMLSchema" xmlns:xs="http://www.w3.org/2001/XMLSchema" xmlns:p="http://schemas.microsoft.com/office/2006/metadata/properties" xmlns:ns2="6cea53e0-2c3d-4bee-90d6-026564cf89e5" xmlns:ns3="15c92b00-d93f-4882-809f-f7c5befd140b" targetNamespace="http://schemas.microsoft.com/office/2006/metadata/properties" ma:root="true" ma:fieldsID="d2f12032b40738d4e066ed0eabdff137" ns2:_="" ns3:_="">
    <xsd:import namespace="6cea53e0-2c3d-4bee-90d6-026564cf89e5"/>
    <xsd:import namespace="15c92b00-d93f-4882-809f-f7c5befd14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DocumentID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Statu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a53e0-2c3d-4bee-90d6-026564cf8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ocumentID" ma:index="20" nillable="true" ma:displayName="Document ID" ma:format="Dropdown" ma:list="6cea53e0-2c3d-4bee-90d6-026564cf89e5" ma:internalName="DocumentID" ma:showField="ID">
      <xsd:simpleType>
        <xsd:restriction base="dms:Lookup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89ec43a-4709-4bd5-aa9c-72cc12c08b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5" nillable="true" ma:displayName="Release status" ma:format="Dropdown" ma:internalName="Status">
      <xsd:simpleType>
        <xsd:restriction base="dms:Choice">
          <xsd:enumeration value="Active"/>
          <xsd:enumeration value="Archived"/>
          <xsd:enumeration value="Obsolete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92b00-d93f-4882-809f-f7c5befd1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1baf65c-1aac-4aff-9538-66cf38d5d38b}" ma:internalName="TaxCatchAll" ma:showField="CatchAllData" ma:web="15c92b00-d93f-4882-809f-f7c5befd14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c92b00-d93f-4882-809f-f7c5befd140b" xsi:nil="true"/>
    <lcf76f155ced4ddcb4097134ff3c332f xmlns="6cea53e0-2c3d-4bee-90d6-026564cf89e5">
      <Terms xmlns="http://schemas.microsoft.com/office/infopath/2007/PartnerControls"/>
    </lcf76f155ced4ddcb4097134ff3c332f>
    <Status xmlns="6cea53e0-2c3d-4bee-90d6-026564cf89e5" xsi:nil="true"/>
    <_Flow_SignoffStatus xmlns="6cea53e0-2c3d-4bee-90d6-026564cf89e5" xsi:nil="true"/>
    <DocumentID xmlns="6cea53e0-2c3d-4bee-90d6-026564cf89e5" xsi:nil="true"/>
  </documentManagement>
</p:properties>
</file>

<file path=customXml/itemProps1.xml><?xml version="1.0" encoding="utf-8"?>
<ds:datastoreItem xmlns:ds="http://schemas.openxmlformats.org/officeDocument/2006/customXml" ds:itemID="{68C36256-387E-4AD5-AB47-D2ED70F6ED47}"/>
</file>

<file path=customXml/itemProps2.xml><?xml version="1.0" encoding="utf-8"?>
<ds:datastoreItem xmlns:ds="http://schemas.openxmlformats.org/officeDocument/2006/customXml" ds:itemID="{C09A9F7A-6884-4091-9EB9-B9F0A57E37B3}"/>
</file>

<file path=customXml/itemProps3.xml><?xml version="1.0" encoding="utf-8"?>
<ds:datastoreItem xmlns:ds="http://schemas.openxmlformats.org/officeDocument/2006/customXml" ds:itemID="{693D68B0-5C49-403A-9231-6D0F5EC572C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Sections</vt:lpstr>
      <vt:lpstr>Totals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Verbist</cp:lastModifiedBy>
  <dcterms:created xsi:type="dcterms:W3CDTF">2025-12-19T11:14:22Z</dcterms:created>
  <dcterms:modified xsi:type="dcterms:W3CDTF">2025-12-22T08:16:51Z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0x01010047DB144859B4EE4CB039B18FB536882E</vt:lpwstr>
  </property>
</Properties>
</file>