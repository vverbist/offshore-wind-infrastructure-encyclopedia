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hn5a1435c9a7e5c.sharepoint.com/sites/Technology/Shared Documents/HT02 Projects/HT02-047 Wind2Wheel COW2WEH/Simulations/offshore/model_A01/"/>
    </mc:Choice>
  </mc:AlternateContent>
  <xr:revisionPtr revIDLastSave="12" documentId="11_E89B376C07BB8B60F869A614433D9B0843C6D864" xr6:coauthVersionLast="47" xr6:coauthVersionMax="47" xr10:uidLastSave="{09037315-6EDB-434E-8CAD-A8C3C6218ACA}"/>
  <bookViews>
    <workbookView xWindow="-108" yWindow="-108" windowWidth="23256" windowHeight="12456" xr2:uid="{00000000-000D-0000-FFFF-FFFF00000000}"/>
  </bookViews>
  <sheets>
    <sheet name="Components" sheetId="1" r:id="rId1"/>
    <sheet name="Sections" sheetId="2" r:id="rId2"/>
    <sheet name="Totals" sheetId="3" r:id="rId3"/>
    <sheet name="Inputs" sheetId="4" r:id="rId4"/>
  </sheets>
  <definedNames>
    <definedName name="_xlnm._FilterDatabase" localSheetId="0" hidden="1">Components!$A$1:$O$18</definedName>
    <definedName name="_xlnm._FilterDatabase" localSheetId="3" hidden="1">Inputs!$A$1:$B$15</definedName>
    <definedName name="_xlnm._FilterDatabase" localSheetId="1" hidden="1">Sections!$A$1:$L$4</definedName>
    <definedName name="_xlnm._FilterDatabase" localSheetId="2" hidden="1">Totals!$A$1:$K$2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" i="1"/>
  <c r="F19" i="1"/>
  <c r="L4" i="1"/>
</calcChain>
</file>

<file path=xl/sharedStrings.xml><?xml version="1.0" encoding="utf-8"?>
<sst xmlns="http://schemas.openxmlformats.org/spreadsheetml/2006/main" count="133" uniqueCount="44">
  <si>
    <t>scenario_id</t>
  </si>
  <si>
    <t>carrier</t>
  </si>
  <si>
    <t>section</t>
  </si>
  <si>
    <t>component</t>
  </si>
  <si>
    <t>yield_mwh</t>
  </si>
  <si>
    <t>LCOE</t>
  </si>
  <si>
    <t>annual_capex</t>
  </si>
  <si>
    <t>annual_opex</t>
  </si>
  <si>
    <t>annual_total</t>
  </si>
  <si>
    <t>capex</t>
  </si>
  <si>
    <t>decommissioning</t>
  </si>
  <si>
    <t>installation</t>
  </si>
  <si>
    <t>opex</t>
  </si>
  <si>
    <t>scenario</t>
  </si>
  <si>
    <t>electricity</t>
  </si>
  <si>
    <t>export</t>
  </si>
  <si>
    <t>annual</t>
  </si>
  <si>
    <t>export_annual</t>
  </si>
  <si>
    <t>offshore-substation</t>
  </si>
  <si>
    <t>offshore-substation_annual</t>
  </si>
  <si>
    <t>onshore-substation</t>
  </si>
  <si>
    <t>onshore-substation_annual</t>
  </si>
  <si>
    <t>farm</t>
  </si>
  <si>
    <t>development</t>
  </si>
  <si>
    <t>development_annual</t>
  </si>
  <si>
    <t>foundation</t>
  </si>
  <si>
    <t>foundation_annual</t>
  </si>
  <si>
    <t>infield</t>
  </si>
  <si>
    <t>infield_annual</t>
  </si>
  <si>
    <t>turbine</t>
  </si>
  <si>
    <t>turbine_annual</t>
  </si>
  <si>
    <t>parameter</t>
  </si>
  <si>
    <t>value</t>
  </si>
  <si>
    <t>num_turbines</t>
  </si>
  <si>
    <t>turbine_capacity_MW</t>
  </si>
  <si>
    <t>farm_capacity_MW</t>
  </si>
  <si>
    <t>wake_loss_frac</t>
  </si>
  <si>
    <t>farm_cf</t>
  </si>
  <si>
    <t>stack_size_MW</t>
  </si>
  <si>
    <t>compressor_outlet_pressure_bar</t>
  </si>
  <si>
    <t>export_capacity_MW</t>
  </si>
  <si>
    <t>H2_export_capacity_kgph</t>
  </si>
  <si>
    <t>elx_export_capacity_MW</t>
  </si>
  <si>
    <t>num_export_pipelines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</si>
</sst>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#,##0"/>
    <numFmt numFmtId="166" formatCode="0.00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1" applyFont="1"/>
    <xf numFmtId="166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pane ySplit="1" topLeftCell="A2" activePane="bottomLeft" state="frozen"/>
      <selection pane="bottomLeft" activeCell="G5" sqref="G5"/>
    </sheetView>
  </sheetViews>
  <sheetFormatPr defaultRowHeight="14.4" x14ac:dyDescent="0.3"/>
  <cols>
    <col min="1" max="2" width="13" customWidth="1"/>
    <col min="3" max="3" width="10" customWidth="1"/>
    <col min="4" max="4" width="28" customWidth="1"/>
    <col min="5" max="5" width="19" customWidth="1"/>
    <col min="6" max="7" width="20" customWidth="1"/>
    <col min="8" max="8" width="14" customWidth="1"/>
    <col min="9" max="9" width="13" customWidth="1"/>
    <col min="10" max="10" width="14" customWidth="1"/>
    <col min="11" max="12" width="19" customWidth="1"/>
    <col min="13" max="13" width="17" customWidth="1"/>
    <col min="14" max="14" width="14" customWidth="1"/>
    <col min="15" max="15" width="19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/>
      <c r="M1" s="1" t="s">
        <v>10</v>
      </c>
      <c r="N1" s="1" t="s">
        <v>11</v>
      </c>
      <c r="O1" s="1" t="s">
        <v>12</v>
      </c>
    </row>
    <row r="2" spans="1:15" x14ac:dyDescent="0.3">
      <c r="A2" t="s">
        <v>13</v>
      </c>
      <c r="B2" t="s">
        <v>14</v>
      </c>
      <c r="C2" t="s">
        <v>15</v>
      </c>
      <c r="D2" t="s">
        <v>16</v>
      </c>
      <c r="E2" s="2">
        <v>9337358.5067983847</v>
      </c>
      <c r="F2" s="3">
        <v>0</v>
      </c>
      <c r="G2" s="5">
        <f>F2/F$19</f>
        <v>0</v>
      </c>
      <c r="H2" s="4"/>
      <c r="I2" s="4"/>
      <c r="J2" s="4"/>
      <c r="K2" s="4">
        <v>205233540.2184656</v>
      </c>
      <c r="L2" s="4"/>
      <c r="M2" s="4">
        <v>0</v>
      </c>
      <c r="N2" s="4">
        <v>0</v>
      </c>
      <c r="O2" s="4">
        <v>49926000</v>
      </c>
    </row>
    <row r="3" spans="1:15" x14ac:dyDescent="0.3">
      <c r="A3" t="s">
        <v>13</v>
      </c>
      <c r="B3" t="s">
        <v>14</v>
      </c>
      <c r="C3" t="s">
        <v>15</v>
      </c>
      <c r="D3" t="s">
        <v>15</v>
      </c>
      <c r="E3" s="2">
        <v>9337358.5067983847</v>
      </c>
      <c r="F3" s="3">
        <v>1.892685734562676</v>
      </c>
      <c r="G3" s="5">
        <f t="shared" ref="G3:G18" si="0">F3/F$19</f>
        <v>3.0984113519131856E-2</v>
      </c>
      <c r="H3" s="4"/>
      <c r="I3" s="4"/>
      <c r="J3" s="4"/>
      <c r="K3" s="4">
        <v>168920000</v>
      </c>
      <c r="L3" s="4"/>
      <c r="M3" s="4">
        <v>20320000</v>
      </c>
      <c r="N3" s="4">
        <v>25400000</v>
      </c>
      <c r="O3" s="4">
        <v>3696000</v>
      </c>
    </row>
    <row r="4" spans="1:15" x14ac:dyDescent="0.3">
      <c r="A4" t="s">
        <v>13</v>
      </c>
      <c r="B4" t="s">
        <v>14</v>
      </c>
      <c r="C4" t="s">
        <v>15</v>
      </c>
      <c r="D4" t="s">
        <v>17</v>
      </c>
      <c r="E4" s="2">
        <v>9337358.5067983847</v>
      </c>
      <c r="F4" s="3">
        <v>0</v>
      </c>
      <c r="G4" s="5">
        <f t="shared" si="0"/>
        <v>0</v>
      </c>
      <c r="H4" s="4"/>
      <c r="I4" s="4"/>
      <c r="J4" s="4"/>
      <c r="K4" s="4">
        <v>13976685.244314751</v>
      </c>
      <c r="L4" s="6">
        <f>K4/K3</f>
        <v>8.2741447101081875E-2</v>
      </c>
      <c r="M4" s="4">
        <v>0</v>
      </c>
      <c r="N4" s="4">
        <v>0</v>
      </c>
      <c r="O4" s="4">
        <v>3696000</v>
      </c>
    </row>
    <row r="5" spans="1:15" x14ac:dyDescent="0.3">
      <c r="A5" t="s">
        <v>13</v>
      </c>
      <c r="B5" t="s">
        <v>14</v>
      </c>
      <c r="C5" t="s">
        <v>15</v>
      </c>
      <c r="D5" t="s">
        <v>18</v>
      </c>
      <c r="E5" s="2">
        <v>9337358.5067983847</v>
      </c>
      <c r="F5" s="3">
        <v>22.116566320423239</v>
      </c>
      <c r="G5" s="5">
        <f t="shared" si="0"/>
        <v>0.3620581003024988</v>
      </c>
      <c r="H5" s="4"/>
      <c r="I5" s="4"/>
      <c r="J5" s="4"/>
      <c r="K5" s="4">
        <v>2010000000</v>
      </c>
      <c r="L5" s="4"/>
      <c r="M5" s="4">
        <v>0</v>
      </c>
      <c r="N5" s="4">
        <v>0</v>
      </c>
      <c r="O5" s="4">
        <v>40200000</v>
      </c>
    </row>
    <row r="6" spans="1:15" x14ac:dyDescent="0.3">
      <c r="A6" t="s">
        <v>13</v>
      </c>
      <c r="B6" t="s">
        <v>14</v>
      </c>
      <c r="C6" t="s">
        <v>15</v>
      </c>
      <c r="D6" t="s">
        <v>19</v>
      </c>
      <c r="E6" s="2">
        <v>9337358.5067983847</v>
      </c>
      <c r="F6" s="3">
        <v>0</v>
      </c>
      <c r="G6" s="5">
        <f t="shared" si="0"/>
        <v>0</v>
      </c>
      <c r="H6" s="4"/>
      <c r="I6" s="4"/>
      <c r="J6" s="4"/>
      <c r="K6" s="4">
        <v>166310308.67317459</v>
      </c>
      <c r="L6" s="4"/>
      <c r="M6" s="4">
        <v>0</v>
      </c>
      <c r="N6" s="4">
        <v>0</v>
      </c>
      <c r="O6" s="4">
        <v>40200000</v>
      </c>
    </row>
    <row r="7" spans="1:15" x14ac:dyDescent="0.3">
      <c r="A7" t="s">
        <v>13</v>
      </c>
      <c r="B7" t="s">
        <v>14</v>
      </c>
      <c r="C7" t="s">
        <v>15</v>
      </c>
      <c r="D7" t="s">
        <v>20</v>
      </c>
      <c r="E7" s="2">
        <v>9337358.5067983847</v>
      </c>
      <c r="F7" s="3">
        <v>3.3174849480634871</v>
      </c>
      <c r="G7" s="5">
        <f t="shared" si="0"/>
        <v>5.4308715045374843E-2</v>
      </c>
      <c r="H7" s="4"/>
      <c r="I7" s="4"/>
      <c r="J7" s="4"/>
      <c r="K7" s="4">
        <v>301500000</v>
      </c>
      <c r="L7" s="4"/>
      <c r="M7" s="4">
        <v>0</v>
      </c>
      <c r="N7" s="4">
        <v>0</v>
      </c>
      <c r="O7" s="4">
        <v>6030000</v>
      </c>
    </row>
    <row r="8" spans="1:15" x14ac:dyDescent="0.3">
      <c r="A8" t="s">
        <v>13</v>
      </c>
      <c r="B8" t="s">
        <v>14</v>
      </c>
      <c r="C8" t="s">
        <v>15</v>
      </c>
      <c r="D8" t="s">
        <v>21</v>
      </c>
      <c r="E8" s="2">
        <v>9337358.5067983847</v>
      </c>
      <c r="F8" s="3">
        <v>0</v>
      </c>
      <c r="G8" s="5">
        <f t="shared" si="0"/>
        <v>0</v>
      </c>
      <c r="H8" s="4"/>
      <c r="I8" s="4"/>
      <c r="J8" s="4"/>
      <c r="K8" s="4">
        <v>24946546.300976191</v>
      </c>
      <c r="L8" s="4"/>
      <c r="M8" s="4">
        <v>0</v>
      </c>
      <c r="N8" s="4">
        <v>0</v>
      </c>
      <c r="O8" s="4">
        <v>6030000</v>
      </c>
    </row>
    <row r="9" spans="1:15" x14ac:dyDescent="0.3">
      <c r="A9" t="s">
        <v>13</v>
      </c>
      <c r="B9" t="s">
        <v>14</v>
      </c>
      <c r="C9" t="s">
        <v>22</v>
      </c>
      <c r="D9" t="s">
        <v>16</v>
      </c>
      <c r="E9" s="2">
        <v>9337358.5067983847</v>
      </c>
      <c r="F9" s="3">
        <v>0</v>
      </c>
      <c r="G9" s="5">
        <f t="shared" si="0"/>
        <v>0</v>
      </c>
      <c r="H9" s="4"/>
      <c r="I9" s="4"/>
      <c r="J9" s="4"/>
      <c r="K9" s="4">
        <v>99648611.564733699</v>
      </c>
      <c r="L9" s="4"/>
      <c r="M9" s="4">
        <v>0</v>
      </c>
      <c r="N9" s="4">
        <v>0</v>
      </c>
      <c r="O9" s="4">
        <v>6049458.4448274095</v>
      </c>
    </row>
    <row r="10" spans="1:15" x14ac:dyDescent="0.3">
      <c r="A10" t="s">
        <v>13</v>
      </c>
      <c r="B10" t="s">
        <v>14</v>
      </c>
      <c r="C10" t="s">
        <v>22</v>
      </c>
      <c r="D10" t="s">
        <v>23</v>
      </c>
      <c r="E10" s="2">
        <v>9337358.5067983847</v>
      </c>
      <c r="F10" s="3">
        <v>0.72113531468064451</v>
      </c>
      <c r="G10" s="5">
        <f t="shared" si="0"/>
        <v>1.1805308216095742E-2</v>
      </c>
      <c r="H10" s="4"/>
      <c r="I10" s="4"/>
      <c r="J10" s="4"/>
      <c r="K10" s="4">
        <v>81380000</v>
      </c>
      <c r="L10" s="4"/>
      <c r="M10" s="4">
        <v>0</v>
      </c>
      <c r="N10" s="4">
        <v>0</v>
      </c>
      <c r="O10" s="4">
        <v>0</v>
      </c>
    </row>
    <row r="11" spans="1:15" x14ac:dyDescent="0.3">
      <c r="A11" t="s">
        <v>13</v>
      </c>
      <c r="B11" t="s">
        <v>14</v>
      </c>
      <c r="C11" t="s">
        <v>22</v>
      </c>
      <c r="D11" t="s">
        <v>24</v>
      </c>
      <c r="E11" s="2">
        <v>9337358.5067983847</v>
      </c>
      <c r="F11" s="3">
        <v>0</v>
      </c>
      <c r="G11" s="5">
        <f t="shared" si="0"/>
        <v>0</v>
      </c>
      <c r="H11" s="4"/>
      <c r="I11" s="4"/>
      <c r="J11" s="4"/>
      <c r="K11" s="4">
        <v>6733498.9650860457</v>
      </c>
      <c r="L11" s="4"/>
      <c r="M11" s="4">
        <v>0</v>
      </c>
      <c r="N11" s="4">
        <v>0</v>
      </c>
      <c r="O11" s="4">
        <v>0</v>
      </c>
    </row>
    <row r="12" spans="1:15" x14ac:dyDescent="0.3">
      <c r="A12" t="s">
        <v>13</v>
      </c>
      <c r="B12" t="s">
        <v>14</v>
      </c>
      <c r="C12" t="s">
        <v>22</v>
      </c>
      <c r="D12" t="s">
        <v>25</v>
      </c>
      <c r="E12" s="2">
        <v>9337358.5067983847</v>
      </c>
      <c r="F12" s="3">
        <v>9.6923943151757719</v>
      </c>
      <c r="G12" s="5">
        <f t="shared" si="0"/>
        <v>0.15866883775239321</v>
      </c>
      <c r="H12" s="4"/>
      <c r="I12" s="4"/>
      <c r="J12" s="4"/>
      <c r="K12" s="4">
        <v>1045200000</v>
      </c>
      <c r="L12" s="4"/>
      <c r="M12" s="4">
        <v>107200000</v>
      </c>
      <c r="N12" s="4">
        <v>134000000</v>
      </c>
      <c r="O12" s="4">
        <v>4020000</v>
      </c>
    </row>
    <row r="13" spans="1:15" x14ac:dyDescent="0.3">
      <c r="A13" t="s">
        <v>13</v>
      </c>
      <c r="B13" t="s">
        <v>14</v>
      </c>
      <c r="C13" t="s">
        <v>22</v>
      </c>
      <c r="D13" t="s">
        <v>26</v>
      </c>
      <c r="E13" s="2">
        <v>9337358.5067983847</v>
      </c>
      <c r="F13" s="3">
        <v>0</v>
      </c>
      <c r="G13" s="5">
        <f t="shared" si="0"/>
        <v>0</v>
      </c>
      <c r="H13" s="4"/>
      <c r="I13" s="4"/>
      <c r="J13" s="4"/>
      <c r="K13" s="4">
        <v>86481360.510050803</v>
      </c>
      <c r="L13" s="4"/>
      <c r="M13" s="4">
        <v>0</v>
      </c>
      <c r="N13" s="4">
        <v>0</v>
      </c>
      <c r="O13" s="4">
        <v>4020000</v>
      </c>
    </row>
    <row r="14" spans="1:15" x14ac:dyDescent="0.3">
      <c r="A14" t="s">
        <v>13</v>
      </c>
      <c r="B14" t="s">
        <v>14</v>
      </c>
      <c r="C14" t="s">
        <v>22</v>
      </c>
      <c r="D14" t="s">
        <v>27</v>
      </c>
      <c r="E14" s="2">
        <v>9337358.5067983847</v>
      </c>
      <c r="F14" s="3">
        <v>0.90638166332183867</v>
      </c>
      <c r="G14" s="5">
        <f t="shared" si="0"/>
        <v>1.4837873945572037E-2</v>
      </c>
      <c r="H14" s="4"/>
      <c r="I14" s="4"/>
      <c r="J14" s="4"/>
      <c r="K14" s="4">
        <v>77757306.827580303</v>
      </c>
      <c r="L14" s="4"/>
      <c r="M14" s="4">
        <v>4492752</v>
      </c>
      <c r="N14" s="4">
        <v>5615940</v>
      </c>
      <c r="O14" s="4">
        <v>2029458.444827409</v>
      </c>
    </row>
    <row r="15" spans="1:15" x14ac:dyDescent="0.3">
      <c r="A15" t="s">
        <v>13</v>
      </c>
      <c r="B15" t="s">
        <v>14</v>
      </c>
      <c r="C15" t="s">
        <v>22</v>
      </c>
      <c r="D15" t="s">
        <v>28</v>
      </c>
      <c r="E15" s="2">
        <v>9337358.5067983847</v>
      </c>
      <c r="F15" s="3">
        <v>0</v>
      </c>
      <c r="G15" s="5">
        <f t="shared" si="0"/>
        <v>0</v>
      </c>
      <c r="H15" s="4"/>
      <c r="I15" s="4"/>
      <c r="J15" s="4"/>
      <c r="K15" s="4">
        <v>6433752.0895968303</v>
      </c>
      <c r="L15" s="4"/>
      <c r="M15" s="4">
        <v>0</v>
      </c>
      <c r="N15" s="4">
        <v>0</v>
      </c>
      <c r="O15" s="4">
        <v>2029458.444827409</v>
      </c>
    </row>
    <row r="16" spans="1:15" x14ac:dyDescent="0.3">
      <c r="A16" t="s">
        <v>13</v>
      </c>
      <c r="B16" t="s">
        <v>14</v>
      </c>
      <c r="C16" t="s">
        <v>29</v>
      </c>
      <c r="D16" t="s">
        <v>16</v>
      </c>
      <c r="E16" s="2">
        <v>9337358.5067983847</v>
      </c>
      <c r="F16" s="3">
        <v>0</v>
      </c>
      <c r="G16" s="5">
        <f t="shared" si="0"/>
        <v>0</v>
      </c>
      <c r="H16" s="4"/>
      <c r="I16" s="4"/>
      <c r="J16" s="4"/>
      <c r="K16" s="4">
        <v>182721311.00211751</v>
      </c>
      <c r="L16" s="4"/>
      <c r="M16" s="4">
        <v>0</v>
      </c>
      <c r="N16" s="4">
        <v>0</v>
      </c>
      <c r="O16" s="4">
        <v>26800000</v>
      </c>
    </row>
    <row r="17" spans="1:15" x14ac:dyDescent="0.3">
      <c r="A17" t="s">
        <v>13</v>
      </c>
      <c r="B17" t="s">
        <v>14</v>
      </c>
      <c r="C17" t="s">
        <v>29</v>
      </c>
      <c r="D17" t="s">
        <v>29</v>
      </c>
      <c r="E17" s="2">
        <v>9337358.5067983847</v>
      </c>
      <c r="F17" s="3">
        <v>22.439034642352901</v>
      </c>
      <c r="G17" s="5">
        <f t="shared" si="0"/>
        <v>0.36733705121893356</v>
      </c>
      <c r="H17" s="4"/>
      <c r="I17" s="4"/>
      <c r="J17" s="4"/>
      <c r="K17" s="4">
        <v>2208340770</v>
      </c>
      <c r="L17" s="4"/>
      <c r="M17" s="4">
        <v>0</v>
      </c>
      <c r="N17" s="4">
        <v>0</v>
      </c>
      <c r="O17" s="4">
        <v>26800000</v>
      </c>
    </row>
    <row r="18" spans="1:15" x14ac:dyDescent="0.3">
      <c r="A18" t="s">
        <v>13</v>
      </c>
      <c r="B18" t="s">
        <v>14</v>
      </c>
      <c r="C18" t="s">
        <v>29</v>
      </c>
      <c r="D18" t="s">
        <v>30</v>
      </c>
      <c r="E18" s="2">
        <v>9337358.5067983847</v>
      </c>
      <c r="F18" s="3">
        <v>0</v>
      </c>
      <c r="G18" s="5">
        <f t="shared" si="0"/>
        <v>0</v>
      </c>
      <c r="H18" s="4"/>
      <c r="I18" s="4"/>
      <c r="J18" s="4"/>
      <c r="K18" s="4">
        <v>182721311.00211751</v>
      </c>
      <c r="L18" s="4"/>
      <c r="M18" s="4">
        <v>0</v>
      </c>
      <c r="N18" s="4">
        <v>0</v>
      </c>
      <c r="O18" s="4">
        <v>26800000</v>
      </c>
    </row>
    <row r="19" spans="1:15" x14ac:dyDescent="0.3">
      <c r="F19" s="3">
        <f>SUM(F2:F18)</f>
        <v>61.085682938580554</v>
      </c>
      <c r="G19" s="3"/>
    </row>
  </sheetData>
  <autoFilter ref="A1:O1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3" customWidth="1"/>
    <col min="3" max="3" width="10" customWidth="1"/>
    <col min="4" max="5" width="19" customWidth="1"/>
    <col min="6" max="6" width="14" customWidth="1"/>
    <col min="7" max="7" width="13" customWidth="1"/>
    <col min="8" max="8" width="14" customWidth="1"/>
    <col min="9" max="9" width="18" customWidth="1"/>
    <col min="10" max="10" width="17" customWidth="1"/>
    <col min="11" max="11" width="14" customWidth="1"/>
    <col min="12" max="12" width="19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3">
      <c r="A2" t="s">
        <v>13</v>
      </c>
      <c r="B2" t="s">
        <v>14</v>
      </c>
      <c r="C2" t="s">
        <v>15</v>
      </c>
      <c r="D2" s="2">
        <v>9337358.5067983847</v>
      </c>
      <c r="E2" s="3">
        <v>27.326737003049409</v>
      </c>
      <c r="F2" s="4"/>
      <c r="G2" s="4"/>
      <c r="H2" s="4"/>
      <c r="I2" s="4">
        <v>2480420000</v>
      </c>
      <c r="J2" s="4">
        <v>20320000</v>
      </c>
      <c r="K2" s="4">
        <v>25400000</v>
      </c>
      <c r="L2" s="4">
        <v>49926000</v>
      </c>
    </row>
    <row r="3" spans="1:12" x14ac:dyDescent="0.3">
      <c r="A3" t="s">
        <v>13</v>
      </c>
      <c r="B3" t="s">
        <v>14</v>
      </c>
      <c r="C3" t="s">
        <v>22</v>
      </c>
      <c r="D3" s="2">
        <v>9337358.5067983847</v>
      </c>
      <c r="E3" s="3">
        <v>11.31991129317826</v>
      </c>
      <c r="F3" s="4"/>
      <c r="G3" s="4"/>
      <c r="H3" s="4"/>
      <c r="I3" s="4">
        <v>1204337306.82758</v>
      </c>
      <c r="J3" s="4">
        <v>111692752</v>
      </c>
      <c r="K3" s="4">
        <v>139615940</v>
      </c>
      <c r="L3" s="4">
        <v>6049458.4448274095</v>
      </c>
    </row>
    <row r="4" spans="1:12" x14ac:dyDescent="0.3">
      <c r="A4" t="s">
        <v>13</v>
      </c>
      <c r="B4" t="s">
        <v>14</v>
      </c>
      <c r="C4" t="s">
        <v>29</v>
      </c>
      <c r="D4" s="2">
        <v>9337358.5067983847</v>
      </c>
      <c r="E4" s="3">
        <v>22.439034642352901</v>
      </c>
      <c r="F4" s="4"/>
      <c r="G4" s="4"/>
      <c r="H4" s="4"/>
      <c r="I4" s="4">
        <v>2208340770</v>
      </c>
      <c r="J4" s="4">
        <v>0</v>
      </c>
      <c r="K4" s="4">
        <v>0</v>
      </c>
      <c r="L4" s="4">
        <v>26800000</v>
      </c>
    </row>
  </sheetData>
  <autoFilter ref="A1:L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3" customWidth="1"/>
    <col min="3" max="7" width="19" customWidth="1"/>
    <col min="8" max="8" width="18" customWidth="1"/>
    <col min="9" max="9" width="17" customWidth="1"/>
    <col min="10" max="10" width="14" customWidth="1"/>
    <col min="11" max="11" width="19" customWidth="1"/>
  </cols>
  <sheetData>
    <row r="1" spans="1:11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 x14ac:dyDescent="0.3">
      <c r="A2" t="s">
        <v>13</v>
      </c>
      <c r="B2" t="s">
        <v>14</v>
      </c>
      <c r="C2" s="2">
        <v>9337358.5067983847</v>
      </c>
      <c r="D2" s="3">
        <v>61.085682938580561</v>
      </c>
      <c r="E2" s="4">
        <v>487603462.78531682</v>
      </c>
      <c r="F2" s="4">
        <v>82775458.444827408</v>
      </c>
      <c r="G2" s="4">
        <v>570378921.23014414</v>
      </c>
      <c r="H2" s="4">
        <v>5893098076.8275805</v>
      </c>
      <c r="I2" s="4">
        <v>132012752</v>
      </c>
      <c r="J2" s="4">
        <v>165015940</v>
      </c>
      <c r="K2" s="4">
        <v>82775458.444827408</v>
      </c>
    </row>
  </sheetData>
  <autoFilter ref="A1:K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20" customWidth="1"/>
  </cols>
  <sheetData>
    <row r="1" spans="1:2" x14ac:dyDescent="0.3">
      <c r="A1" s="1" t="s">
        <v>31</v>
      </c>
      <c r="B1" s="1" t="s">
        <v>32</v>
      </c>
    </row>
    <row r="2" spans="1:2" x14ac:dyDescent="0.3">
      <c r="A2" t="s">
        <v>0</v>
      </c>
      <c r="B2" t="s">
        <v>13</v>
      </c>
    </row>
    <row r="3" spans="1:2" x14ac:dyDescent="0.3">
      <c r="A3" t="s">
        <v>1</v>
      </c>
      <c r="B3" t="s">
        <v>14</v>
      </c>
    </row>
    <row r="4" spans="1:2" x14ac:dyDescent="0.3">
      <c r="A4" t="s">
        <v>33</v>
      </c>
      <c r="B4">
        <v>134</v>
      </c>
    </row>
    <row r="5" spans="1:2" x14ac:dyDescent="0.3">
      <c r="A5" t="s">
        <v>34</v>
      </c>
      <c r="B5">
        <v>15</v>
      </c>
    </row>
    <row r="6" spans="1:2" x14ac:dyDescent="0.3">
      <c r="A6" t="s">
        <v>35</v>
      </c>
      <c r="B6">
        <v>2010</v>
      </c>
    </row>
    <row r="7" spans="1:2" x14ac:dyDescent="0.3">
      <c r="A7" t="s">
        <v>36</v>
      </c>
      <c r="B7">
        <v>0.1092713120596286</v>
      </c>
    </row>
    <row r="8" spans="1:2" x14ac:dyDescent="0.3">
      <c r="A8" t="s">
        <v>37</v>
      </c>
      <c r="B8">
        <v>0.59271761355541641</v>
      </c>
    </row>
    <row r="9" spans="1:2" x14ac:dyDescent="0.3">
      <c r="A9" t="s">
        <v>4</v>
      </c>
      <c r="B9">
        <v>9337358.5067983847</v>
      </c>
    </row>
    <row r="10" spans="1:2" x14ac:dyDescent="0.3">
      <c r="A10" t="s">
        <v>38</v>
      </c>
    </row>
    <row r="11" spans="1:2" x14ac:dyDescent="0.3">
      <c r="A11" t="s">
        <v>39</v>
      </c>
    </row>
    <row r="12" spans="1:2" x14ac:dyDescent="0.3">
      <c r="A12" t="s">
        <v>40</v>
      </c>
      <c r="B12">
        <v>2010</v>
      </c>
    </row>
    <row r="13" spans="1:2" x14ac:dyDescent="0.3">
      <c r="A13" t="s">
        <v>41</v>
      </c>
    </row>
    <row r="14" spans="1:2" x14ac:dyDescent="0.3">
      <c r="A14" t="s">
        <v>42</v>
      </c>
    </row>
    <row r="15" spans="1:2" x14ac:dyDescent="0.3">
      <c r="A15" t="s">
        <v>43</v>
      </c>
    </row>
  </sheetData>
  <autoFilter ref="A1:B15" xr:uid="{00000000-0009-0000-0000-000003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c92b00-d93f-4882-809f-f7c5befd140b" xsi:nil="true"/>
    <lcf76f155ced4ddcb4097134ff3c332f xmlns="6cea53e0-2c3d-4bee-90d6-026564cf89e5">
      <Terms xmlns="http://schemas.microsoft.com/office/infopath/2007/PartnerControls"/>
    </lcf76f155ced4ddcb4097134ff3c332f>
    <Status xmlns="6cea53e0-2c3d-4bee-90d6-026564cf89e5" xsi:nil="true"/>
    <_Flow_SignoffStatus xmlns="6cea53e0-2c3d-4bee-90d6-026564cf89e5" xsi:nil="true"/>
    <DocumentID xmlns="6cea53e0-2c3d-4bee-90d6-026564cf89e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DB144859B4EE4CB039B18FB536882E" ma:contentTypeVersion="22" ma:contentTypeDescription="Create a new document." ma:contentTypeScope="" ma:versionID="f35f845e19e9f960c769d3eec311c6f7">
  <xsd:schema xmlns:xsd="http://www.w3.org/2001/XMLSchema" xmlns:xs="http://www.w3.org/2001/XMLSchema" xmlns:p="http://schemas.microsoft.com/office/2006/metadata/properties" xmlns:ns2="6cea53e0-2c3d-4bee-90d6-026564cf89e5" xmlns:ns3="15c92b00-d93f-4882-809f-f7c5befd140b" targetNamespace="http://schemas.microsoft.com/office/2006/metadata/properties" ma:root="true" ma:fieldsID="d2f12032b40738d4e066ed0eabdff137" ns2:_="" ns3:_="">
    <xsd:import namespace="6cea53e0-2c3d-4bee-90d6-026564cf89e5"/>
    <xsd:import namespace="15c92b00-d93f-4882-809f-f7c5befd14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DocumentID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Statu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a53e0-2c3d-4bee-90d6-026564cf89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DocumentID" ma:index="20" nillable="true" ma:displayName="Document ID" ma:format="Dropdown" ma:list="6cea53e0-2c3d-4bee-90d6-026564cf89e5" ma:internalName="DocumentID" ma:showField="ID">
      <xsd:simpleType>
        <xsd:restriction base="dms:Lookup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89ec43a-4709-4bd5-aa9c-72cc12c08b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5" nillable="true" ma:displayName="Release status" ma:format="Dropdown" ma:internalName="Status">
      <xsd:simpleType>
        <xsd:restriction base="dms:Choice">
          <xsd:enumeration value="Active"/>
          <xsd:enumeration value="Archived"/>
          <xsd:enumeration value="Obsolete"/>
        </xsd:restriction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c92b00-d93f-4882-809f-f7c5befd140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1baf65c-1aac-4aff-9538-66cf38d5d38b}" ma:internalName="TaxCatchAll" ma:showField="CatchAllData" ma:web="15c92b00-d93f-4882-809f-f7c5befd14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AFC5FE-38D3-4F64-B947-8B1D0F50F25A}">
  <ds:schemaRefs>
    <ds:schemaRef ds:uri="http://schemas.microsoft.com/office/2006/metadata/properties"/>
    <ds:schemaRef ds:uri="http://schemas.microsoft.com/office/infopath/2007/PartnerControls"/>
    <ds:schemaRef ds:uri="15c92b00-d93f-4882-809f-f7c5befd140b"/>
    <ds:schemaRef ds:uri="6cea53e0-2c3d-4bee-90d6-026564cf89e5"/>
  </ds:schemaRefs>
</ds:datastoreItem>
</file>

<file path=customXml/itemProps2.xml><?xml version="1.0" encoding="utf-8"?>
<ds:datastoreItem xmlns:ds="http://schemas.openxmlformats.org/officeDocument/2006/customXml" ds:itemID="{E64ED106-DD11-4102-93CC-FF6993A1AE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A7BE63-9D41-49D2-B0AD-D361344AC63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Components</vt:lpstr>
      <vt:lpstr>Sections</vt:lpstr>
      <vt:lpstr>Totals</vt:lpstr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Verbist</cp:lastModifiedBy>
  <dcterms:created xsi:type="dcterms:W3CDTF">2025-12-19T11:06:33Z</dcterms:created>
  <dcterms:modified xsi:type="dcterms:W3CDTF">2026-02-09T14:02:29Z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0x01010047DB144859B4EE4CB039B18FB536882E</vt:lpwstr>
  </property>
  <property fmtid="{D5CDD505-2E9C-101B-9397-08002B2CF9AE}" pid="3" name="MediaServiceImageTags">
    <vt:lpwstr/>
  </property>
</Properties>
</file>